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報價單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<sst xmlns="http://schemas.openxmlformats.org/spreadsheetml/2006/main" count="63" uniqueCount="58">
  <si>
    <t xml:space="preserve">大地興機器廠股份有限公司</t>
  </si>
  <si>
    <t xml:space="preserve">TAI-DI-HSING MACHINERY CO., LTD.</t>
  </si>
  <si>
    <r>
      <rPr>
        <sz val="9"/>
        <color rgb="FFC9C9C9"/>
        <rFont val="DejaVu Sans"/>
        <family val="2"/>
      </rPr>
      <t xml:space="preserve">台中市西屯區工業區一路 </t>
    </r>
    <r>
      <rPr>
        <sz val="9"/>
        <color rgb="FFC9C9C9"/>
        <rFont val="Arial"/>
        <family val="0"/>
        <charset val="1"/>
      </rPr>
      <t xml:space="preserve">88 </t>
    </r>
    <r>
      <rPr>
        <sz val="9"/>
        <color rgb="FFC9C9C9"/>
        <rFont val="DejaVu Sans"/>
        <family val="2"/>
      </rPr>
      <t xml:space="preserve">號　</t>
    </r>
    <r>
      <rPr>
        <sz val="9"/>
        <color rgb="FFC9C9C9"/>
        <rFont val="Arial"/>
        <family val="0"/>
        <charset val="1"/>
      </rPr>
      <t xml:space="preserve">TEL: (04)2359-0001</t>
    </r>
    <r>
      <rPr>
        <sz val="9"/>
        <color rgb="FFC9C9C9"/>
        <rFont val="DejaVu Sans"/>
        <family val="2"/>
      </rPr>
      <t xml:space="preserve">　</t>
    </r>
    <r>
      <rPr>
        <sz val="9"/>
        <color rgb="FFC9C9C9"/>
        <rFont val="Arial"/>
        <family val="0"/>
        <charset val="1"/>
      </rPr>
      <t xml:space="preserve">FAX: (04)2359-0002</t>
    </r>
    <r>
      <rPr>
        <sz val="9"/>
        <color rgb="FFC9C9C9"/>
        <rFont val="DejaVu Sans"/>
        <family val="2"/>
      </rPr>
      <t xml:space="preserve">　</t>
    </r>
    <r>
      <rPr>
        <sz val="9"/>
        <color rgb="FFC9C9C9"/>
        <rFont val="Arial"/>
        <family val="0"/>
        <charset val="1"/>
      </rPr>
      <t xml:space="preserve">www.tdh-machinery.com.tw</t>
    </r>
  </si>
  <si>
    <r>
      <rPr>
        <b val="true"/>
        <sz val="16"/>
        <color rgb="FF1F3864"/>
        <rFont val="DejaVu Sans"/>
        <family val="2"/>
      </rPr>
      <t xml:space="preserve">報 價 單　</t>
    </r>
    <r>
      <rPr>
        <b val="true"/>
        <sz val="16"/>
        <color rgb="FF1F3864"/>
        <rFont val="Arial"/>
        <family val="0"/>
        <charset val="1"/>
      </rPr>
      <t xml:space="preserve">QUOTATION</t>
    </r>
  </si>
  <si>
    <t xml:space="preserve">客　　戶</t>
  </si>
  <si>
    <t xml:space="preserve">永豐食品股份有限公司</t>
  </si>
  <si>
    <t xml:space="preserve">報價編號</t>
  </si>
  <si>
    <t xml:space="preserve">Q-2025-0478</t>
  </si>
  <si>
    <t xml:space="preserve">聯 絡 人</t>
  </si>
  <si>
    <t xml:space="preserve">張廠長</t>
  </si>
  <si>
    <t xml:space="preserve">報價日期</t>
  </si>
  <si>
    <r>
      <rPr>
        <sz val="10"/>
        <color rgb="FF1F3864"/>
        <rFont val="Arial"/>
        <family val="0"/>
        <charset val="1"/>
      </rPr>
      <t xml:space="preserve">2025 </t>
    </r>
    <r>
      <rPr>
        <sz val="10"/>
        <color rgb="FF1F3864"/>
        <rFont val="DejaVu Sans"/>
        <family val="2"/>
      </rPr>
      <t xml:space="preserve">年 </t>
    </r>
    <r>
      <rPr>
        <sz val="10"/>
        <color rgb="FF1F3864"/>
        <rFont val="Arial"/>
        <family val="0"/>
        <charset val="1"/>
      </rPr>
      <t xml:space="preserve">10 </t>
    </r>
    <r>
      <rPr>
        <sz val="10"/>
        <color rgb="FF1F3864"/>
        <rFont val="DejaVu Sans"/>
        <family val="2"/>
      </rPr>
      <t xml:space="preserve">月 </t>
    </r>
    <r>
      <rPr>
        <sz val="10"/>
        <color rgb="FF1F3864"/>
        <rFont val="Arial"/>
        <family val="0"/>
        <charset val="1"/>
      </rPr>
      <t xml:space="preserve">15 </t>
    </r>
    <r>
      <rPr>
        <sz val="10"/>
        <color rgb="FF1F3864"/>
        <rFont val="DejaVu Sans"/>
        <family val="2"/>
      </rPr>
      <t xml:space="preserve">日</t>
    </r>
  </si>
  <si>
    <t xml:space="preserve">聯絡電話</t>
  </si>
  <si>
    <t xml:space="preserve">(03) 4567-XXXX</t>
  </si>
  <si>
    <t xml:space="preserve">有效期限</t>
  </si>
  <si>
    <r>
      <rPr>
        <sz val="10"/>
        <color rgb="FF1F3864"/>
        <rFont val="Arial"/>
        <family val="0"/>
        <charset val="1"/>
      </rPr>
      <t xml:space="preserve">2025 </t>
    </r>
    <r>
      <rPr>
        <sz val="10"/>
        <color rgb="FF1F3864"/>
        <rFont val="DejaVu Sans"/>
        <family val="2"/>
      </rPr>
      <t xml:space="preserve">年 </t>
    </r>
    <r>
      <rPr>
        <sz val="10"/>
        <color rgb="FF1F3864"/>
        <rFont val="Arial"/>
        <family val="0"/>
        <charset val="1"/>
      </rPr>
      <t xml:space="preserve">11 </t>
    </r>
    <r>
      <rPr>
        <sz val="10"/>
        <color rgb="FF1F3864"/>
        <rFont val="DejaVu Sans"/>
        <family val="2"/>
      </rPr>
      <t xml:space="preserve">月 </t>
    </r>
    <r>
      <rPr>
        <sz val="10"/>
        <color rgb="FF1F3864"/>
        <rFont val="Arial"/>
        <family val="0"/>
        <charset val="1"/>
      </rPr>
      <t xml:space="preserve">15 </t>
    </r>
    <r>
      <rPr>
        <sz val="10"/>
        <color rgb="FF1F3864"/>
        <rFont val="DejaVu Sans"/>
        <family val="2"/>
      </rPr>
      <t xml:space="preserve">日</t>
    </r>
  </si>
  <si>
    <t xml:space="preserve">地　　址</t>
  </si>
  <si>
    <r>
      <rPr>
        <sz val="10"/>
        <color rgb="FF1F3864"/>
        <rFont val="DejaVu Sans"/>
        <family val="2"/>
      </rPr>
      <t xml:space="preserve">新竹縣竹北市光明一路 </t>
    </r>
    <r>
      <rPr>
        <sz val="10"/>
        <color rgb="FF1F3864"/>
        <rFont val="Arial"/>
        <family val="0"/>
        <charset val="1"/>
      </rPr>
      <t xml:space="preserve">150 </t>
    </r>
    <r>
      <rPr>
        <sz val="10"/>
        <color rgb="FF1F3864"/>
        <rFont val="DejaVu Sans"/>
        <family val="2"/>
      </rPr>
      <t xml:space="preserve">號</t>
    </r>
  </si>
  <si>
    <t xml:space="preserve">業務代表</t>
  </si>
  <si>
    <t xml:space="preserve">劉志豪 業務經理</t>
  </si>
  <si>
    <t xml:space="preserve">項次</t>
  </si>
  <si>
    <t xml:space="preserve">品名</t>
  </si>
  <si>
    <t xml:space="preserve">型號</t>
  </si>
  <si>
    <t xml:space="preserve">數量</t>
  </si>
  <si>
    <t xml:space="preserve">單位</t>
  </si>
  <si>
    <r>
      <rPr>
        <b val="true"/>
        <sz val="11"/>
        <color rgb="FFFFFFFF"/>
        <rFont val="DejaVu Sans"/>
        <family val="2"/>
      </rPr>
      <t xml:space="preserve">單價 </t>
    </r>
    <r>
      <rPr>
        <b val="true"/>
        <sz val="11"/>
        <color rgb="FFFFFFFF"/>
        <rFont val="Arial"/>
        <family val="0"/>
        <charset val="1"/>
      </rPr>
      <t xml:space="preserve">(NTD)</t>
    </r>
  </si>
  <si>
    <r>
      <rPr>
        <b val="true"/>
        <sz val="11"/>
        <color rgb="FFFFFFFF"/>
        <rFont val="DejaVu Sans"/>
        <family val="2"/>
      </rPr>
      <t xml:space="preserve">小計 </t>
    </r>
    <r>
      <rPr>
        <b val="true"/>
        <sz val="11"/>
        <color rgb="FFFFFFFF"/>
        <rFont val="Arial"/>
        <family val="0"/>
        <charset val="1"/>
      </rPr>
      <t xml:space="preserve">(NTD)</t>
    </r>
  </si>
  <si>
    <t xml:space="preserve">自動磨漿機</t>
  </si>
  <si>
    <t xml:space="preserve">SG-200</t>
  </si>
  <si>
    <t xml:space="preserve">台</t>
  </si>
  <si>
    <t xml:space="preserve">煮漿機</t>
  </si>
  <si>
    <t xml:space="preserve">BT-500</t>
  </si>
  <si>
    <t xml:space="preserve">濾漿機</t>
  </si>
  <si>
    <t xml:space="preserve">FS-100</t>
  </si>
  <si>
    <t xml:space="preserve">碳化矽磨盤組（備品）</t>
  </si>
  <si>
    <t xml:space="preserve">SG-P01</t>
  </si>
  <si>
    <t xml:space="preserve">組</t>
  </si>
  <si>
    <t xml:space="preserve">安裝調試費</t>
  </si>
  <si>
    <t xml:space="preserve">─</t>
  </si>
  <si>
    <t xml:space="preserve">式</t>
  </si>
  <si>
    <t xml:space="preserve">教育訓練費</t>
  </si>
  <si>
    <r>
      <rPr>
        <b val="true"/>
        <sz val="11"/>
        <color rgb="FF1F3864"/>
        <rFont val="DejaVu Sans"/>
        <family val="2"/>
      </rPr>
      <t xml:space="preserve">商品合計 </t>
    </r>
    <r>
      <rPr>
        <b val="true"/>
        <sz val="11"/>
        <color rgb="FF1F3864"/>
        <rFont val="Arial"/>
        <family val="0"/>
        <charset val="1"/>
      </rPr>
      <t xml:space="preserve">Sub-Total</t>
    </r>
  </si>
  <si>
    <r>
      <rPr>
        <b val="true"/>
        <sz val="11"/>
        <color rgb="FF1F3864"/>
        <rFont val="DejaVu Sans"/>
        <family val="2"/>
      </rPr>
      <t xml:space="preserve">稅額（</t>
    </r>
    <r>
      <rPr>
        <b val="true"/>
        <sz val="11"/>
        <color rgb="FF1F3864"/>
        <rFont val="Arial"/>
        <family val="0"/>
        <charset val="1"/>
      </rPr>
      <t xml:space="preserve">5%</t>
    </r>
    <r>
      <rPr>
        <b val="true"/>
        <sz val="11"/>
        <color rgb="FF1F3864"/>
        <rFont val="DejaVu Sans"/>
        <family val="2"/>
      </rPr>
      <t xml:space="preserve">）</t>
    </r>
    <r>
      <rPr>
        <b val="true"/>
        <sz val="11"/>
        <color rgb="FF1F3864"/>
        <rFont val="Arial"/>
        <family val="0"/>
        <charset val="1"/>
      </rPr>
      <t xml:space="preserve">Tax</t>
    </r>
  </si>
  <si>
    <r>
      <rPr>
        <b val="true"/>
        <sz val="13"/>
        <color rgb="FFFFFFFF"/>
        <rFont val="DejaVu Sans"/>
        <family val="2"/>
      </rPr>
      <t xml:space="preserve">總計（含稅）</t>
    </r>
    <r>
      <rPr>
        <b val="true"/>
        <sz val="13"/>
        <color rgb="FFFFFFFF"/>
        <rFont val="Arial"/>
        <family val="0"/>
        <charset val="1"/>
      </rPr>
      <t xml:space="preserve">Total Amount (NTD)</t>
    </r>
  </si>
  <si>
    <t xml:space="preserve">付款條件</t>
  </si>
  <si>
    <r>
      <rPr>
        <sz val="9"/>
        <color rgb="FF333333"/>
        <rFont val="DejaVu Sans"/>
        <family val="2"/>
      </rPr>
      <t xml:space="preserve">訂金 </t>
    </r>
    <r>
      <rPr>
        <sz val="9"/>
        <color rgb="FF333333"/>
        <rFont val="Arial"/>
        <family val="0"/>
        <charset val="1"/>
      </rPr>
      <t xml:space="preserve">30%</t>
    </r>
    <r>
      <rPr>
        <sz val="9"/>
        <color rgb="FF333333"/>
        <rFont val="DejaVu Sans"/>
        <family val="2"/>
      </rPr>
      <t xml:space="preserve">（訂單確認後 </t>
    </r>
    <r>
      <rPr>
        <sz val="9"/>
        <color rgb="FF333333"/>
        <rFont val="Arial"/>
        <family val="0"/>
        <charset val="1"/>
      </rPr>
      <t xml:space="preserve">5 </t>
    </r>
    <r>
      <rPr>
        <sz val="9"/>
        <color rgb="FF333333"/>
        <rFont val="DejaVu Sans"/>
        <family val="2"/>
      </rPr>
      <t xml:space="preserve">個工作天內），餘款 </t>
    </r>
    <r>
      <rPr>
        <sz val="9"/>
        <color rgb="FF333333"/>
        <rFont val="Arial"/>
        <family val="0"/>
        <charset val="1"/>
      </rPr>
      <t xml:space="preserve">70% </t>
    </r>
    <r>
      <rPr>
        <sz val="9"/>
        <color rgb="FF333333"/>
        <rFont val="DejaVu Sans"/>
        <family val="2"/>
      </rPr>
      <t xml:space="preserve">於交機驗收合格後 </t>
    </r>
    <r>
      <rPr>
        <sz val="9"/>
        <color rgb="FF333333"/>
        <rFont val="Arial"/>
        <family val="0"/>
        <charset val="1"/>
      </rPr>
      <t xml:space="preserve">15 </t>
    </r>
    <r>
      <rPr>
        <sz val="9"/>
        <color rgb="FF333333"/>
        <rFont val="DejaVu Sans"/>
        <family val="2"/>
      </rPr>
      <t xml:space="preserve">天內付清</t>
    </r>
  </si>
  <si>
    <t xml:space="preserve">交貨期限</t>
  </si>
  <si>
    <r>
      <rPr>
        <sz val="9"/>
        <color rgb="FF333333"/>
        <rFont val="DejaVu Sans"/>
        <family val="2"/>
      </rPr>
      <t xml:space="preserve">訂單確認後 </t>
    </r>
    <r>
      <rPr>
        <sz val="9"/>
        <color rgb="FF333333"/>
        <rFont val="Arial"/>
        <family val="0"/>
        <charset val="1"/>
      </rPr>
      <t xml:space="preserve">45 </t>
    </r>
    <r>
      <rPr>
        <sz val="9"/>
        <color rgb="FF333333"/>
        <rFont val="DejaVu Sans"/>
        <family val="2"/>
      </rPr>
      <t xml:space="preserve">個工作天</t>
    </r>
  </si>
  <si>
    <t xml:space="preserve">保固條款</t>
  </si>
  <si>
    <r>
      <rPr>
        <sz val="9"/>
        <color rgb="FF333333"/>
        <rFont val="DejaVu Sans"/>
        <family val="2"/>
      </rPr>
      <t xml:space="preserve">整機一年保固（磨盤消耗品除外，磨盤保固 </t>
    </r>
    <r>
      <rPr>
        <sz val="9"/>
        <color rgb="FF333333"/>
        <rFont val="Arial"/>
        <family val="0"/>
        <charset val="1"/>
      </rPr>
      <t xml:space="preserve">6 </t>
    </r>
    <r>
      <rPr>
        <sz val="9"/>
        <color rgb="FF333333"/>
        <rFont val="DejaVu Sans"/>
        <family val="2"/>
      </rPr>
      <t xml:space="preserve">個月或研磨量 </t>
    </r>
    <r>
      <rPr>
        <sz val="9"/>
        <color rgb="FF333333"/>
        <rFont val="Arial"/>
        <family val="0"/>
        <charset val="1"/>
      </rPr>
      <t xml:space="preserve">50,000 kg </t>
    </r>
    <r>
      <rPr>
        <sz val="9"/>
        <color rgb="FF333333"/>
        <rFont val="DejaVu Sans"/>
        <family val="2"/>
      </rPr>
      <t xml:space="preserve">以先到為準）</t>
    </r>
  </si>
  <si>
    <t xml:space="preserve">運送方式</t>
  </si>
  <si>
    <t xml:space="preserve">賣方負責運送至客戶指定地點（含上樓及定位），不含吊車費用</t>
  </si>
  <si>
    <t xml:space="preserve">注意事項</t>
  </si>
  <si>
    <r>
      <rPr>
        <sz val="9"/>
        <color rgb="FF333333"/>
        <rFont val="DejaVu Sans"/>
        <family val="2"/>
      </rPr>
      <t xml:space="preserve">本報價單有效期限 </t>
    </r>
    <r>
      <rPr>
        <sz val="9"/>
        <color rgb="FF333333"/>
        <rFont val="Arial"/>
        <family val="0"/>
        <charset val="1"/>
      </rPr>
      <t xml:space="preserve">30 </t>
    </r>
    <r>
      <rPr>
        <sz val="9"/>
        <color rgb="FF333333"/>
        <rFont val="DejaVu Sans"/>
        <family val="2"/>
      </rPr>
      <t xml:space="preserve">天，逾期需重新報價。如有任何疑問，請聯繫業務代表。</t>
    </r>
  </si>
  <si>
    <t xml:space="preserve">※ 本報價單一式兩份，請客戶確認後簽回乙份，作為訂購確認之依據。</t>
  </si>
  <si>
    <t xml:space="preserve">業務主管</t>
  </si>
  <si>
    <t xml:space="preserve">客戶確認簽章</t>
  </si>
  <si>
    <t xml:space="preserve">劉志豪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</si>
</sst>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DejaVu Sans"/>
      <family val="2"/>
    </font>
    <font>
      <sz val="11"/>
      <color rgb="FFD6E4F0"/>
      <name val="Arial"/>
      <family val="0"/>
      <charset val="1"/>
    </font>
    <font>
      <sz val="9"/>
      <color rgb="FFC9C9C9"/>
      <name val="DejaVu Sans"/>
      <family val="2"/>
    </font>
    <font>
      <sz val="9"/>
      <color rgb="FFC9C9C9"/>
      <name val="Arial"/>
      <family val="0"/>
      <charset val="1"/>
    </font>
    <font>
      <b val="true"/>
      <sz val="16"/>
      <color rgb="FF1F3864"/>
      <name val="DejaVu Sans"/>
      <family val="2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1F3864"/>
      <name val="DejaVu Sans"/>
      <family val="2"/>
    </font>
    <font>
      <sz val="10"/>
      <color rgb="FF1F3864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DejaVu Sans"/>
      <family val="2"/>
    </font>
    <font>
      <b val="true"/>
      <sz val="11"/>
      <color rgb="FF1F3864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C9A227"/>
      <name val="Arial"/>
      <family val="0"/>
      <charset val="1"/>
    </font>
    <font>
      <sz val="9"/>
      <color rgb="FF333333"/>
      <name val="DejaVu Sans"/>
      <family val="2"/>
    </font>
    <font>
      <sz val="9"/>
      <color rgb="FF333333"/>
      <name val="Arial"/>
      <family val="0"/>
      <charset val="1"/>
    </font>
    <font>
      <i val="true"/>
      <sz val="9"/>
      <color rgb="FF666666"/>
      <name val="DejaVu Sans"/>
      <family val="2"/>
    </font>
    <font>
      <b val="true"/>
      <sz val="10"/>
      <color rgb="FF1F3864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EAF0FB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EAF0FB"/>
      </patternFill>
    </fill>
    <fill>
      <patternFill patternType="solid">
        <fgColor rgb="FFFFFFFF"/>
        <bgColor rgb="FFF5F5F5"/>
      </patternFill>
    </fill>
    <fill>
      <patternFill patternType="solid">
        <fgColor rgb="FFD6E4F0"/>
        <bgColor rgb="FFEAF0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5F5F5"/>
      <rgbColor rgb="FFEAF0FB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33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</row>
    <row r="6" customFormat="false" ht="21.75" hidden="false" customHeight="true" outlineLevel="0" collapsed="false">
      <c r="A6" s="6" t="s">
        <v>4</v>
      </c>
      <c r="B6" s="7" t="s">
        <v>5</v>
      </c>
      <c r="C6" s="7"/>
      <c r="D6" s="7"/>
      <c r="E6" s="6" t="s">
        <v>6</v>
      </c>
      <c r="F6" s="8" t="s">
        <v>7</v>
      </c>
      <c r="G6" s="8"/>
    </row>
    <row r="7" customFormat="false" ht="21.75" hidden="false" customHeight="true" outlineLevel="0" collapsed="false">
      <c r="A7" s="6" t="s">
        <v>8</v>
      </c>
      <c r="B7" s="7" t="s">
        <v>9</v>
      </c>
      <c r="C7" s="7"/>
      <c r="D7" s="7"/>
      <c r="E7" s="6" t="s">
        <v>10</v>
      </c>
      <c r="F7" s="8" t="s">
        <v>11</v>
      </c>
      <c r="G7" s="8"/>
    </row>
    <row r="8" customFormat="false" ht="21.75" hidden="false" customHeight="true" outlineLevel="0" collapsed="false">
      <c r="A8" s="6" t="s">
        <v>12</v>
      </c>
      <c r="B8" s="8" t="s">
        <v>13</v>
      </c>
      <c r="C8" s="8"/>
      <c r="D8" s="8"/>
      <c r="E8" s="6" t="s">
        <v>14</v>
      </c>
      <c r="F8" s="8" t="s">
        <v>15</v>
      </c>
      <c r="G8" s="8"/>
    </row>
    <row r="9" customFormat="false" ht="21.75" hidden="false" customHeight="true" outlineLevel="0" collapsed="false">
      <c r="A9" s="6" t="s">
        <v>16</v>
      </c>
      <c r="B9" s="7" t="s">
        <v>17</v>
      </c>
      <c r="C9" s="7"/>
      <c r="D9" s="7"/>
      <c r="E9" s="6" t="s">
        <v>18</v>
      </c>
      <c r="F9" s="7" t="s">
        <v>19</v>
      </c>
      <c r="G9" s="7"/>
    </row>
    <row r="11" customFormat="false" ht="7.5" hidden="false" customHeight="true" outlineLevel="0" collapsed="false"/>
    <row r="12" customFormat="false" ht="27.75" hidden="false" customHeight="true" outlineLevel="0" collapsed="false">
      <c r="A12" s="9" t="s">
        <v>20</v>
      </c>
      <c r="B12" s="9" t="s">
        <v>21</v>
      </c>
      <c r="C12" s="9" t="s">
        <v>22</v>
      </c>
      <c r="D12" s="9" t="s">
        <v>23</v>
      </c>
      <c r="E12" s="9" t="s">
        <v>24</v>
      </c>
      <c r="F12" s="9" t="s">
        <v>25</v>
      </c>
      <c r="G12" s="9" t="s">
        <v>26</v>
      </c>
    </row>
    <row r="13" customFormat="false" ht="21.75" hidden="false" customHeight="true" outlineLevel="0" collapsed="false">
      <c r="A13" s="10" t="n">
        <v>1</v>
      </c>
      <c r="B13" s="11" t="s">
        <v>27</v>
      </c>
      <c r="C13" s="10" t="s">
        <v>28</v>
      </c>
      <c r="D13" s="10" t="n">
        <v>2</v>
      </c>
      <c r="E13" s="12" t="s">
        <v>29</v>
      </c>
      <c r="F13" s="13" t="n">
        <v>285000</v>
      </c>
      <c r="G13" s="12" t="n">
        <f aca="false">D13*F13</f>
        <v>570000</v>
      </c>
    </row>
    <row r="14" customFormat="false" ht="21.75" hidden="false" customHeight="true" outlineLevel="0" collapsed="false">
      <c r="A14" s="14" t="n">
        <v>2</v>
      </c>
      <c r="B14" s="15" t="s">
        <v>30</v>
      </c>
      <c r="C14" s="14" t="s">
        <v>31</v>
      </c>
      <c r="D14" s="14" t="n">
        <v>2</v>
      </c>
      <c r="E14" s="16" t="s">
        <v>29</v>
      </c>
      <c r="F14" s="17" t="n">
        <v>198000</v>
      </c>
      <c r="G14" s="16" t="n">
        <f aca="false">D14*F14</f>
        <v>396000</v>
      </c>
    </row>
    <row r="15" customFormat="false" ht="21.75" hidden="false" customHeight="true" outlineLevel="0" collapsed="false">
      <c r="A15" s="12" t="n">
        <v>3</v>
      </c>
      <c r="B15" s="11" t="s">
        <v>32</v>
      </c>
      <c r="C15" s="10" t="s">
        <v>33</v>
      </c>
      <c r="D15" s="12" t="n">
        <v>1</v>
      </c>
      <c r="E15" s="12" t="s">
        <v>29</v>
      </c>
      <c r="F15" s="13" t="n">
        <v>220000</v>
      </c>
      <c r="G15" s="12" t="n">
        <f aca="false">D15*F15</f>
        <v>220000</v>
      </c>
    </row>
    <row r="16" customFormat="false" ht="21.75" hidden="false" customHeight="true" outlineLevel="0" collapsed="false">
      <c r="A16" s="16" t="n">
        <v>4</v>
      </c>
      <c r="B16" s="15" t="s">
        <v>34</v>
      </c>
      <c r="C16" s="14" t="s">
        <v>35</v>
      </c>
      <c r="D16" s="16" t="n">
        <v>4</v>
      </c>
      <c r="E16" s="16" t="s">
        <v>36</v>
      </c>
      <c r="F16" s="17" t="n">
        <v>12500</v>
      </c>
      <c r="G16" s="16" t="n">
        <f aca="false">D16*F16</f>
        <v>50000</v>
      </c>
    </row>
    <row r="17" customFormat="false" ht="21.75" hidden="false" customHeight="true" outlineLevel="0" collapsed="false">
      <c r="A17" s="12" t="n">
        <v>5</v>
      </c>
      <c r="B17" s="11" t="s">
        <v>37</v>
      </c>
      <c r="C17" s="10" t="s">
        <v>38</v>
      </c>
      <c r="D17" s="12" t="n">
        <v>1</v>
      </c>
      <c r="E17" s="12" t="s">
        <v>39</v>
      </c>
      <c r="F17" s="13" t="n">
        <v>35000</v>
      </c>
      <c r="G17" s="12" t="n">
        <f aca="false">D17*F17</f>
        <v>35000</v>
      </c>
    </row>
    <row r="18" customFormat="false" ht="21.75" hidden="false" customHeight="true" outlineLevel="0" collapsed="false">
      <c r="A18" s="16" t="n">
        <v>6</v>
      </c>
      <c r="B18" s="15" t="s">
        <v>40</v>
      </c>
      <c r="C18" s="14" t="s">
        <v>38</v>
      </c>
      <c r="D18" s="16" t="n">
        <v>1</v>
      </c>
      <c r="E18" s="16" t="s">
        <v>39</v>
      </c>
      <c r="F18" s="17" t="n">
        <v>15000</v>
      </c>
      <c r="G18" s="16" t="n">
        <f aca="false">D18*F18</f>
        <v>15000</v>
      </c>
    </row>
    <row r="19" customFormat="false" ht="19.5" hidden="false" customHeight="true" outlineLevel="0" collapsed="false">
      <c r="A19" s="18"/>
      <c r="B19" s="18"/>
      <c r="C19" s="18"/>
      <c r="D19" s="18"/>
      <c r="E19" s="18"/>
      <c r="F19" s="18"/>
      <c r="G19" s="18"/>
    </row>
    <row r="20" customFormat="false" ht="19.5" hidden="false" customHeight="true" outlineLevel="0" collapsed="false">
      <c r="A20" s="18"/>
      <c r="B20" s="18"/>
      <c r="C20" s="18"/>
      <c r="D20" s="18"/>
      <c r="E20" s="18"/>
      <c r="F20" s="18"/>
      <c r="G20" s="18"/>
    </row>
    <row r="21" customFormat="false" ht="19.5" hidden="false" customHeight="true" outlineLevel="0" collapsed="false">
      <c r="A21" s="18"/>
      <c r="B21" s="18"/>
      <c r="C21" s="18"/>
      <c r="D21" s="18"/>
      <c r="E21" s="18"/>
      <c r="F21" s="18"/>
      <c r="G21" s="18"/>
    </row>
    <row r="22" customFormat="false" ht="7.5" hidden="false" customHeight="true" outlineLevel="0" collapsed="false"/>
    <row r="23" customFormat="false" ht="25.5" hidden="false" customHeight="true" outlineLevel="0" collapsed="false">
      <c r="A23" s="19" t="s">
        <v>41</v>
      </c>
      <c r="B23" s="19"/>
      <c r="C23" s="19"/>
      <c r="D23" s="19"/>
      <c r="E23" s="19"/>
      <c r="F23" s="19"/>
      <c r="G23" s="20" t="n">
        <f aca="false">SUM(G13:G21)</f>
        <v>1286000</v>
      </c>
    </row>
    <row r="24" customFormat="false" ht="24" hidden="false" customHeight="true" outlineLevel="0" collapsed="false">
      <c r="A24" s="21" t="s">
        <v>42</v>
      </c>
      <c r="B24" s="21"/>
      <c r="C24" s="21"/>
      <c r="D24" s="21"/>
      <c r="E24" s="21"/>
      <c r="F24" s="21"/>
      <c r="G24" s="22" t="n">
        <f aca="false">G23*0.05</f>
        <v>64300</v>
      </c>
    </row>
    <row r="25" customFormat="false" ht="31.5" hidden="false" customHeight="true" outlineLevel="0" collapsed="false">
      <c r="A25" s="23" t="s">
        <v>43</v>
      </c>
      <c r="B25" s="23"/>
      <c r="C25" s="23"/>
      <c r="D25" s="23"/>
      <c r="E25" s="23"/>
      <c r="F25" s="23"/>
      <c r="G25" s="24" t="n">
        <f aca="false">G23+G24</f>
        <v>1350300</v>
      </c>
    </row>
    <row r="27" customFormat="false" ht="7.5" hidden="false" customHeight="true" outlineLevel="0" collapsed="false"/>
    <row r="28" customFormat="false" ht="27.75" hidden="false" customHeight="true" outlineLevel="0" collapsed="false">
      <c r="A28" s="6" t="s">
        <v>44</v>
      </c>
      <c r="B28" s="25" t="s">
        <v>45</v>
      </c>
      <c r="C28" s="25"/>
      <c r="D28" s="25"/>
      <c r="E28" s="25"/>
      <c r="F28" s="25"/>
      <c r="G28" s="25"/>
    </row>
    <row r="29" customFormat="false" ht="27.75" hidden="false" customHeight="true" outlineLevel="0" collapsed="false">
      <c r="A29" s="6" t="s">
        <v>46</v>
      </c>
      <c r="B29" s="26" t="s">
        <v>47</v>
      </c>
      <c r="C29" s="26"/>
      <c r="D29" s="26"/>
      <c r="E29" s="26"/>
      <c r="F29" s="26"/>
      <c r="G29" s="26"/>
    </row>
    <row r="30" customFormat="false" ht="27.75" hidden="false" customHeight="true" outlineLevel="0" collapsed="false">
      <c r="A30" s="6" t="s">
        <v>48</v>
      </c>
      <c r="B30" s="25" t="s">
        <v>49</v>
      </c>
      <c r="C30" s="25"/>
      <c r="D30" s="25"/>
      <c r="E30" s="25"/>
      <c r="F30" s="25"/>
      <c r="G30" s="25"/>
    </row>
    <row r="31" customFormat="false" ht="27.75" hidden="false" customHeight="true" outlineLevel="0" collapsed="false">
      <c r="A31" s="6" t="s">
        <v>50</v>
      </c>
      <c r="B31" s="26" t="s">
        <v>51</v>
      </c>
      <c r="C31" s="26"/>
      <c r="D31" s="26"/>
      <c r="E31" s="26"/>
      <c r="F31" s="26"/>
      <c r="G31" s="26"/>
    </row>
    <row r="32" customFormat="false" ht="27.75" hidden="false" customHeight="true" outlineLevel="0" collapsed="false">
      <c r="A32" s="6" t="s">
        <v>52</v>
      </c>
      <c r="B32" s="25" t="s">
        <v>53</v>
      </c>
      <c r="C32" s="25"/>
      <c r="D32" s="25"/>
      <c r="E32" s="25"/>
      <c r="F32" s="25"/>
      <c r="G32" s="25"/>
    </row>
    <row r="34" customFormat="false" ht="7.5" hidden="false" customHeight="true" outlineLevel="0" collapsed="false"/>
    <row r="35" customFormat="false" ht="18" hidden="false" customHeight="true" outlineLevel="0" collapsed="false">
      <c r="A35" s="27" t="s">
        <v>54</v>
      </c>
      <c r="B35" s="27"/>
      <c r="C35" s="27"/>
      <c r="D35" s="27"/>
      <c r="E35" s="27"/>
      <c r="F35" s="27"/>
      <c r="G35" s="27"/>
    </row>
    <row r="36" customFormat="false" ht="21.75" hidden="false" customHeight="true" outlineLevel="0" collapsed="false">
      <c r="B36" s="28" t="s">
        <v>18</v>
      </c>
      <c r="D36" s="28" t="s">
        <v>55</v>
      </c>
      <c r="F36" s="28" t="s">
        <v>56</v>
      </c>
    </row>
    <row r="37" customFormat="false" ht="39.75" hidden="false" customHeight="true" outlineLevel="0" collapsed="false"/>
    <row r="38" customFormat="false" ht="21.75" hidden="false" customHeight="true" outlineLevel="0" collapsed="false">
      <c r="B38" s="29" t="s">
        <v>57</v>
      </c>
      <c r="D38" s="29"/>
      <c r="F38" s="29"/>
    </row>
    <row r="40" customFormat="false" ht="6" hidden="false" customHeight="true" outlineLevel="0" collapsed="false">
      <c r="A40" s="4"/>
      <c r="B40" s="4"/>
      <c r="C40" s="4"/>
      <c r="D40" s="4"/>
      <c r="E40" s="4"/>
      <c r="F40" s="4"/>
      <c r="G40" s="4"/>
    </row>
  </sheetData>
  <mergeCells count="23">
    <mergeCell ref="A1:G1"/>
    <mergeCell ref="A2:G2"/>
    <mergeCell ref="A3:G3"/>
    <mergeCell ref="A4:G4"/>
    <mergeCell ref="A5:G5"/>
    <mergeCell ref="B6:D6"/>
    <mergeCell ref="F6:G6"/>
    <mergeCell ref="B7:D7"/>
    <mergeCell ref="F7:G7"/>
    <mergeCell ref="B8:D8"/>
    <mergeCell ref="F8:G8"/>
    <mergeCell ref="B9:D9"/>
    <mergeCell ref="F9:G9"/>
    <mergeCell ref="A23:F23"/>
    <mergeCell ref="A24:F24"/>
    <mergeCell ref="A25:F25"/>
    <mergeCell ref="B28:G28"/>
    <mergeCell ref="B29:G29"/>
    <mergeCell ref="B30:G30"/>
    <mergeCell ref="B31:G31"/>
    <mergeCell ref="B32:G32"/>
    <mergeCell ref="A35:G35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2026-04-21T06:23:47Z</dcterms:created>
  <dc:creator>openpyxl</dc:creator>
  <dc:description/>
  <dc:language>en-US</dc:language>
  <cp:lastModifiedBy/>
  <dcterms:modified xsi:type="dcterms:W3CDTF">2026-04-21T06:23:47Z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