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1B2A19E-53E4-40D0-85CA-DE1E2B988265}" xr6:coauthVersionLast="36" xr6:coauthVersionMax="36" xr10:uidLastSave="{00000000-0000-0000-0000-000000000000}"/>
  <bookViews>
    <workbookView xWindow="0" yWindow="0" windowWidth="21570" windowHeight="7845" activeTab="4" xr2:uid="{CE67B35D-2DE4-4E2A-A929-BB9CA74BBBEF}"/>
  </bookViews>
  <sheets>
    <sheet name="空白-廠商請款單(FOR付款對象為廠商) (2)" sheetId="24" r:id="rId1"/>
    <sheet name="空白-請購(領)單" sheetId="23" r:id="rId2"/>
    <sheet name="網站續約(聚圖)115" sheetId="82" r:id="rId3"/>
    <sheet name="廠房屋簷修繕" sheetId="81" r:id="rId4"/>
    <sheet name="網站續約(聚圖)115-2" sheetId="83" r:id="rId5"/>
    <sheet name="希捷硬碟 POWER 鍵盤" sheetId="77" r:id="rId6"/>
    <sheet name="衛生業務主管回訓" sheetId="74" r:id="rId7"/>
    <sheet name="柵門遙控器" sheetId="76" r:id="rId8"/>
    <sheet name="馬年擺飾" sheetId="75" r:id="rId9"/>
    <sheet name="標線油漆" sheetId="73" r:id="rId10"/>
    <sheet name="空白-請購(領)單 (2)" sheetId="27" r:id="rId11"/>
    <sheet name="空白-請購(領)單 (3)" sheetId="70" r:id="rId12"/>
    <sheet name="消防線路查修" sheetId="64" r:id="rId13"/>
    <sheet name="雜物0327" sheetId="79" r:id="rId14"/>
    <sheet name="Sky115續約" sheetId="69" r:id="rId15"/>
    <sheet name="流水造景" sheetId="66" r:id="rId16"/>
    <sheet name="軌道燈0115" sheetId="67" r:id="rId17"/>
    <sheet name="抽獎箱0122" sheetId="68" r:id="rId18"/>
    <sheet name="噴漆+軌道燈" sheetId="57" r:id="rId19"/>
    <sheet name="油漆" sheetId="62" r:id="rId20"/>
    <sheet name="動力線接頭" sheetId="60" r:id="rId21"/>
    <sheet name="石材護理蠟" sheetId="59" r:id="rId22"/>
    <sheet name="招牌照明燈" sheetId="56" r:id="rId23"/>
    <sheet name="HDMI延長契" sheetId="63" r:id="rId24"/>
    <sheet name="轉接頭" sheetId="61" r:id="rId25"/>
    <sheet name="UPS" sheetId="55" r:id="rId26"/>
    <sheet name="硬碟記憶體" sheetId="53" r:id="rId27"/>
    <sheet name="RCX7890" sheetId="54" r:id="rId28"/>
    <sheet name="軌道燈" sheetId="52" r:id="rId29"/>
    <sheet name="油錢停車費" sheetId="51" r:id="rId30"/>
    <sheet name="WD紅標2T" sheetId="48" r:id="rId31"/>
    <sheet name="電腦包" sheetId="50" r:id="rId32"/>
    <sheet name="矽膠門把" sheetId="47" r:id="rId33"/>
    <sheet name="除草劑+噴瓶" sheetId="45" r:id="rId34"/>
    <sheet name="CR1616" sheetId="46" r:id="rId35"/>
    <sheet name="SG18電料" sheetId="43" r:id="rId36"/>
    <sheet name="Andrew充電器組" sheetId="44" r:id="rId37"/>
    <sheet name="日立檢測費(財務)" sheetId="42" r:id="rId38"/>
    <sheet name="無線滑鼠" sheetId="41" r:id="rId39"/>
    <sheet name="小門鑰匙" sheetId="40" r:id="rId40"/>
    <sheet name="記憶體滑鼠接頭" sheetId="39" r:id="rId41"/>
    <sheet name="偵煙+喇叭" sheetId="38" r:id="rId42"/>
    <sheet name="藍芽喇叭" sheetId="37" r:id="rId43"/>
    <sheet name="壓克力展示架" sheetId="36" r:id="rId44"/>
    <sheet name="定時開關" sheetId="35" r:id="rId45"/>
    <sheet name="油漆封條" sheetId="34" r:id="rId46"/>
    <sheet name="天車遙控器組" sheetId="33" r:id="rId47"/>
    <sheet name="天車保養" sheetId="32" r:id="rId48"/>
    <sheet name="遮雨棚維修" sheetId="31" r:id="rId49"/>
    <sheet name="衛生紙0430" sheetId="30" r:id="rId50"/>
    <sheet name="測試用包裝盒" sheetId="29" r:id="rId51"/>
    <sheet name="625禮品包裝盒" sheetId="28" r:id="rId52"/>
    <sheet name="6.25展會禮品" sheetId="26" r:id="rId53"/>
    <sheet name="展示架 X2" sheetId="25" r:id="rId54"/>
    <sheet name="WTR-5600C" sheetId="22" r:id="rId55"/>
    <sheet name="0326電池" sheetId="21" r:id="rId56"/>
    <sheet name="0325滑鼠" sheetId="20" r:id="rId57"/>
    <sheet name="0307漏水工程" sheetId="19" r:id="rId58"/>
    <sheet name="0307木酢液" sheetId="18" r:id="rId59"/>
    <sheet name="0307 GW" sheetId="17" r:id="rId60"/>
    <sheet name="0307 GW (2)" sheetId="65" r:id="rId61"/>
    <sheet name="0305金山" sheetId="16" r:id="rId62"/>
    <sheet name="0227白板" sheetId="15" r:id="rId63"/>
    <sheet name="0219電瓶水" sheetId="14" r:id="rId64"/>
    <sheet name="0217網域續約" sheetId="13" r:id="rId65"/>
    <sheet name="0217雜物" sheetId="12" r:id="rId66"/>
    <sheet name="0211除鏽劑" sheetId="11" r:id="rId67"/>
    <sheet name="0107標線工程" sheetId="8" r:id="rId68"/>
    <sheet name="0107指紋鎖" sheetId="7" r:id="rId69"/>
    <sheet name="0110白板貼" sheetId="10" r:id="rId70"/>
  </sheets>
  <definedNames>
    <definedName name="_xlnm.Print_Area" localSheetId="67">'0107標線工程'!$A$1:$L$19</definedName>
    <definedName name="_xlnm.Print_Area" localSheetId="63">'0219電瓶水'!$A$1:$L$19</definedName>
    <definedName name="_xlnm.Print_Area" localSheetId="62">'0227白板'!$A$1:$L$19</definedName>
    <definedName name="_xlnm.Print_Area" localSheetId="61">'0305金山'!$A$1:$J$20</definedName>
    <definedName name="_xlnm.Print_Area" localSheetId="59">'0307 GW'!$A$1:$L$19</definedName>
    <definedName name="_xlnm.Print_Area" localSheetId="60">'0307 GW (2)'!$A$1:$L$19</definedName>
    <definedName name="_xlnm.Print_Area" localSheetId="58">'0307木酢液'!$A$1:$L$19</definedName>
    <definedName name="_xlnm.Print_Area" localSheetId="57">'0307漏水工程'!$A$1:$L$19</definedName>
    <definedName name="_xlnm.Print_Area" localSheetId="56">'0325滑鼠'!$A$1:$L$19</definedName>
    <definedName name="_xlnm.Print_Area" localSheetId="55">'0326電池'!$A$1:$L$19</definedName>
    <definedName name="_xlnm.Print_Area" localSheetId="54">'WTR-5600C'!$A$1:$L$19</definedName>
    <definedName name="_xlnm.Print_Area" localSheetId="0">'空白-廠商請款單(FOR付款對象為廠商) (2)'!$A$1:$K$20</definedName>
    <definedName name="_xlnm.Print_Area" localSheetId="2">'網站續約(聚圖)115'!$A$1:$K$20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" i="77" l="1"/>
  <c r="M11" i="52" l="1"/>
  <c r="M11" i="51" l="1"/>
  <c r="M11" i="50"/>
  <c r="M5" i="48"/>
  <c r="M11" i="48"/>
  <c r="M11" i="47"/>
  <c r="M11" i="46" l="1"/>
  <c r="M11" i="45" l="1"/>
  <c r="M11" i="44" l="1"/>
  <c r="M11" i="43" l="1"/>
  <c r="M11" i="42" l="1"/>
  <c r="M11" i="41"/>
  <c r="M11" i="40"/>
  <c r="M11" i="39"/>
  <c r="M11" i="38"/>
  <c r="M11" i="37"/>
  <c r="M11" i="36"/>
  <c r="M7" i="36"/>
  <c r="M6" i="36"/>
  <c r="M5" i="36"/>
  <c r="K11" i="13"/>
  <c r="K11" i="12"/>
  <c r="K11" i="11"/>
  <c r="K11" i="10"/>
  <c r="K11" i="8"/>
  <c r="K10" i="8"/>
  <c r="K11" i="7"/>
  <c r="K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HUAN</author>
  </authors>
  <commentList>
    <comment ref="M7" authorId="0" shapeId="0" xr:uid="{C9595664-DFBE-4B2C-B852-334C27A7A7E0}">
      <text>
        <r>
          <rPr>
            <b/>
            <sz val="20"/>
            <color indexed="81"/>
            <rFont val="Tahoma"/>
            <family val="2"/>
          </rPr>
          <t>HUAN:</t>
        </r>
        <r>
          <rPr>
            <sz val="20"/>
            <color indexed="81"/>
            <rFont val="Tahoma"/>
            <family val="2"/>
          </rPr>
          <t xml:space="preserve">
1321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HUAN</author>
  </authors>
  <commentList>
    <comment ref="M7" authorId="0" shapeId="0" xr:uid="{90091604-102D-4E06-B003-28D386B5CB55}">
      <text>
        <r>
          <rPr>
            <b/>
            <sz val="20"/>
            <color indexed="81"/>
            <rFont val="Tahoma"/>
            <family val="2"/>
          </rPr>
          <t>HUAN:</t>
        </r>
        <r>
          <rPr>
            <sz val="20"/>
            <color indexed="81"/>
            <rFont val="Tahoma"/>
            <family val="2"/>
          </rPr>
          <t xml:space="preserve">
1321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HUAN</author>
  </authors>
  <commentList>
    <comment ref="M7" authorId="0" shapeId="0" xr:uid="{1EA8CA72-C218-4EDD-BEED-765349F33FC8}">
      <text>
        <r>
          <rPr>
            <b/>
            <sz val="20"/>
            <color indexed="81"/>
            <rFont val="Tahoma"/>
            <family val="2"/>
          </rPr>
          <t>HUAN:</t>
        </r>
        <r>
          <rPr>
            <sz val="20"/>
            <color indexed="81"/>
            <rFont val="Tahoma"/>
            <family val="2"/>
          </rPr>
          <t xml:space="preserve">
1321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<sst xmlns="http://schemas.openxmlformats.org/spreadsheetml/2006/main" count="2112" uniqueCount="375">
  <si>
    <t>大地興機器廠股份有限公司</t>
    <phoneticPr fontId="1" type="noConversion"/>
  </si>
  <si>
    <t>董事長/總經理</t>
    <phoneticPr fontId="3" type="noConversion"/>
  </si>
  <si>
    <t>經理</t>
    <phoneticPr fontId="1" type="noConversion"/>
  </si>
  <si>
    <t>仟</t>
  </si>
  <si>
    <t>佰</t>
  </si>
  <si>
    <t>拾</t>
  </si>
  <si>
    <t>萬</t>
  </si>
  <si>
    <t>元</t>
    <phoneticPr fontId="7" type="noConversion"/>
  </si>
  <si>
    <t>財 務</t>
    <phoneticPr fontId="7" type="noConversion"/>
  </si>
  <si>
    <t xml:space="preserve"> </t>
    <phoneticPr fontId="7" type="noConversion"/>
  </si>
  <si>
    <t>請購部門</t>
    <phoneticPr fontId="1" type="noConversion"/>
  </si>
  <si>
    <t>申請人</t>
    <phoneticPr fontId="3" type="noConversion"/>
  </si>
  <si>
    <t xml:space="preserve"> 經理</t>
    <phoneticPr fontId="1" type="noConversion"/>
  </si>
  <si>
    <t>管理部</t>
    <phoneticPr fontId="1" type="noConversion"/>
  </si>
  <si>
    <t>部門主管</t>
    <phoneticPr fontId="3" type="noConversion"/>
  </si>
  <si>
    <t xml:space="preserve">財務 </t>
    <phoneticPr fontId="3" type="noConversion"/>
  </si>
  <si>
    <t xml:space="preserve">  本單作為請購申請依據 </t>
    <phoneticPr fontId="7" type="noConversion"/>
  </si>
  <si>
    <t>董事長/總經理</t>
    <phoneticPr fontId="1" type="noConversion"/>
  </si>
  <si>
    <t>部門主管</t>
    <phoneticPr fontId="1" type="noConversion"/>
  </si>
  <si>
    <t>申請日期</t>
    <phoneticPr fontId="1" type="noConversion"/>
  </si>
  <si>
    <t>金　　額</t>
    <phoneticPr fontId="1" type="noConversion"/>
  </si>
  <si>
    <t xml:space="preserve">  本單作為費用核銷依據 </t>
    <phoneticPr fontId="7" type="noConversion"/>
  </si>
  <si>
    <t>合    計</t>
    <phoneticPr fontId="1" type="noConversion"/>
  </si>
  <si>
    <t>請 購 單/請 領 單</t>
    <phoneticPr fontId="3" type="noConversion"/>
  </si>
  <si>
    <t>簽核層級：部門主管1~1,000元   管理部1,001~30,000元   經理30,001~50,000元   董事長/總經理50,000元以上</t>
    <phoneticPr fontId="1" type="noConversion"/>
  </si>
  <si>
    <t>摘    要    /    用    途</t>
    <phoneticPr fontId="1" type="noConversion"/>
  </si>
  <si>
    <t>項次</t>
    <phoneticPr fontId="1" type="noConversion"/>
  </si>
  <si>
    <t>數量</t>
  </si>
  <si>
    <t>單位</t>
    <phoneticPr fontId="1" type="noConversion"/>
  </si>
  <si>
    <t>備註：</t>
    <phoneticPr fontId="1" type="noConversion"/>
  </si>
  <si>
    <t>合  計</t>
    <phoneticPr fontId="1" type="noConversion"/>
  </si>
  <si>
    <t>規  格</t>
    <phoneticPr fontId="1" type="noConversion"/>
  </si>
  <si>
    <t>金  額</t>
    <phoneticPr fontId="1" type="noConversion"/>
  </si>
  <si>
    <t>品   名</t>
    <phoneticPr fontId="1" type="noConversion"/>
  </si>
  <si>
    <t>用  途</t>
    <phoneticPr fontId="1" type="noConversion"/>
  </si>
  <si>
    <t>申請人</t>
    <phoneticPr fontId="7" type="noConversion"/>
  </si>
  <si>
    <t>廠 商 請 款 單</t>
    <phoneticPr fontId="3" type="noConversion"/>
  </si>
  <si>
    <t>請款廠商</t>
    <phoneticPr fontId="1" type="noConversion"/>
  </si>
  <si>
    <t>稅額</t>
    <phoneticPr fontId="1" type="noConversion"/>
  </si>
  <si>
    <t>總    計</t>
    <phoneticPr fontId="1" type="noConversion"/>
  </si>
  <si>
    <t>付款方式</t>
    <phoneticPr fontId="1" type="noConversion"/>
  </si>
  <si>
    <t>備註</t>
    <phoneticPr fontId="1" type="noConversion"/>
  </si>
  <si>
    <t>付款時間</t>
    <phoneticPr fontId="1" type="noConversion"/>
  </si>
  <si>
    <t xml:space="preserve"> □製造   □售服   □研發   □資材
 □電機   □業務   ■行銷   □財務</t>
    <phoneticPr fontId="1" type="noConversion"/>
  </si>
  <si>
    <t>小米指紋鎖</t>
    <phoneticPr fontId="1" type="noConversion"/>
  </si>
  <si>
    <t>E20</t>
    <phoneticPr fontId="1" type="noConversion"/>
  </si>
  <si>
    <t>財務辦公室(2樓)</t>
    <phoneticPr fontId="1" type="noConversion"/>
  </si>
  <si>
    <t>組</t>
    <phoneticPr fontId="1" type="noConversion"/>
  </si>
  <si>
    <t>Andrew辦公室(3樓)</t>
    <phoneticPr fontId="1" type="noConversion"/>
  </si>
  <si>
    <t>安裝用鐵片</t>
    <phoneticPr fontId="1" type="noConversion"/>
  </si>
  <si>
    <t>單孔</t>
    <phoneticPr fontId="1" type="noConversion"/>
  </si>
  <si>
    <t>片</t>
    <phoneticPr fontId="1" type="noConversion"/>
  </si>
  <si>
    <t>安裝使用</t>
    <phoneticPr fontId="1" type="noConversion"/>
  </si>
  <si>
    <t xml:space="preserve"> </t>
    <phoneticPr fontId="1" type="noConversion"/>
  </si>
  <si>
    <t>停車格標線工程</t>
    <phoneticPr fontId="1" type="noConversion"/>
  </si>
  <si>
    <t>式</t>
    <phoneticPr fontId="1" type="noConversion"/>
  </si>
  <si>
    <t>稅金</t>
    <phoneticPr fontId="1" type="noConversion"/>
  </si>
  <si>
    <t>(汽車格*11，機車格*16)</t>
    <phoneticPr fontId="1" type="noConversion"/>
  </si>
  <si>
    <t>指紋鎖原價10000，上面價格為同時安裝折扣價，鐵片依狀況使用才付費。</t>
    <phoneticPr fontId="1" type="noConversion"/>
  </si>
  <si>
    <t>-</t>
    <phoneticPr fontId="1" type="noConversion"/>
  </si>
  <si>
    <r>
      <rPr>
        <sz val="14"/>
        <color rgb="FF000000"/>
        <rFont val="Wingdings 2"/>
        <family val="1"/>
        <charset val="2"/>
      </rPr>
      <t>£</t>
    </r>
    <r>
      <rPr>
        <sz val="12"/>
        <color rgb="FF000000"/>
        <rFont val="標楷體"/>
        <family val="4"/>
        <charset val="136"/>
      </rPr>
      <t xml:space="preserve">現金  </t>
    </r>
    <r>
      <rPr>
        <sz val="14"/>
        <color rgb="FF000000"/>
        <rFont val="Segoe UI Symbol"/>
        <family val="4"/>
      </rPr>
      <t>■</t>
    </r>
    <r>
      <rPr>
        <sz val="12"/>
        <color rgb="FF000000"/>
        <rFont val="標楷體"/>
        <family val="4"/>
        <charset val="136"/>
      </rPr>
      <t xml:space="preserve">匯款  </t>
    </r>
    <r>
      <rPr>
        <sz val="14"/>
        <color rgb="FF000000"/>
        <rFont val="Wingdings 2"/>
        <family val="1"/>
        <charset val="2"/>
      </rPr>
      <t>£</t>
    </r>
    <r>
      <rPr>
        <sz val="12"/>
        <color rgb="FF000000"/>
        <rFont val="標楷體"/>
        <family val="4"/>
        <charset val="136"/>
      </rPr>
      <t xml:space="preserve">月結 </t>
    </r>
    <phoneticPr fontId="1" type="noConversion"/>
  </si>
  <si>
    <t>軟性白板貼</t>
    <phoneticPr fontId="1" type="noConversion"/>
  </si>
  <si>
    <t>90*120</t>
    <phoneticPr fontId="1" type="noConversion"/>
  </si>
  <si>
    <t>Andrew辦公室</t>
    <phoneticPr fontId="1" type="noConversion"/>
  </si>
  <si>
    <t>已含稅</t>
    <phoneticPr fontId="1" type="noConversion"/>
  </si>
  <si>
    <t>運費</t>
    <phoneticPr fontId="1" type="noConversion"/>
  </si>
  <si>
    <t>式</t>
    <phoneticPr fontId="1" type="noConversion"/>
  </si>
  <si>
    <t>除鏽劑</t>
    <phoneticPr fontId="1" type="noConversion"/>
  </si>
  <si>
    <t>戶外管線除鏽</t>
    <phoneticPr fontId="1" type="noConversion"/>
  </si>
  <si>
    <t>500ML(2入)</t>
    <phoneticPr fontId="1" type="noConversion"/>
  </si>
  <si>
    <t>油漆</t>
    <phoneticPr fontId="1" type="noConversion"/>
  </si>
  <si>
    <t>小罐</t>
    <phoneticPr fontId="1" type="noConversion"/>
  </si>
  <si>
    <t>修繕用</t>
    <phoneticPr fontId="1" type="noConversion"/>
  </si>
  <si>
    <t>夾子</t>
    <phoneticPr fontId="1" type="noConversion"/>
  </si>
  <si>
    <t>2樓花圃用</t>
    <phoneticPr fontId="1" type="noConversion"/>
  </si>
  <si>
    <t>噴漆</t>
    <phoneticPr fontId="1" type="noConversion"/>
  </si>
  <si>
    <t>銀</t>
    <phoneticPr fontId="1" type="noConversion"/>
  </si>
  <si>
    <t>頂樓鐵網修繕</t>
    <phoneticPr fontId="1" type="noConversion"/>
  </si>
  <si>
    <t>tati.com.tw</t>
    <phoneticPr fontId="1" type="noConversion"/>
  </si>
  <si>
    <r>
      <t>網域續約</t>
    </r>
    <r>
      <rPr>
        <b/>
        <sz val="10"/>
        <color rgb="FF0F025E"/>
        <rFont val="標楷體"/>
        <family val="4"/>
        <charset val="136"/>
      </rPr>
      <t>(2025/05~2035/05)</t>
    </r>
    <phoneticPr fontId="1" type="noConversion"/>
  </si>
  <si>
    <t>電瓶水</t>
    <phoneticPr fontId="1" type="noConversion"/>
  </si>
  <si>
    <t>500ml</t>
    <phoneticPr fontId="1" type="noConversion"/>
  </si>
  <si>
    <t>消防發電機用</t>
    <phoneticPr fontId="1" type="noConversion"/>
  </si>
  <si>
    <t>瓶</t>
    <phoneticPr fontId="1" type="noConversion"/>
  </si>
  <si>
    <t>運費</t>
    <phoneticPr fontId="1" type="noConversion"/>
  </si>
  <si>
    <t>活動白板架+白板</t>
    <phoneticPr fontId="1" type="noConversion"/>
  </si>
  <si>
    <t>90*120CM</t>
    <phoneticPr fontId="1" type="noConversion"/>
  </si>
  <si>
    <t>Andrew辦公室用</t>
    <phoneticPr fontId="1" type="noConversion"/>
  </si>
  <si>
    <t>運費</t>
    <phoneticPr fontId="1" type="noConversion"/>
  </si>
  <si>
    <t>金山機械股份有限公司</t>
    <phoneticPr fontId="1" type="noConversion"/>
  </si>
  <si>
    <t xml:space="preserve"> 113年 03 月 05 日</t>
    <phoneticPr fontId="1" type="noConversion"/>
  </si>
  <si>
    <t>4GLTE行動電話遙控IC板</t>
    <phoneticPr fontId="1" type="noConversion"/>
  </si>
  <si>
    <t>匯款後出貨故發票後補</t>
    <phoneticPr fontId="1" type="noConversion"/>
  </si>
  <si>
    <t>Business Standard</t>
    <phoneticPr fontId="1" type="noConversion"/>
  </si>
  <si>
    <t>Google Workspace 續約</t>
    <phoneticPr fontId="1" type="noConversion"/>
  </si>
  <si>
    <t>合約時間2025/03/14~2026/03/13</t>
    <phoneticPr fontId="1" type="noConversion"/>
  </si>
  <si>
    <t>木酢液</t>
    <phoneticPr fontId="1" type="noConversion"/>
  </si>
  <si>
    <t>4L</t>
    <phoneticPr fontId="1" type="noConversion"/>
  </si>
  <si>
    <t>驅除蚊蟲(機車棚)</t>
    <phoneticPr fontId="1" type="noConversion"/>
  </si>
  <si>
    <t>財務及業務辦公室漏水工程</t>
    <phoneticPr fontId="1" type="noConversion"/>
  </si>
  <si>
    <t>式</t>
    <phoneticPr fontId="1" type="noConversion"/>
  </si>
  <si>
    <t>有線滑鼠</t>
    <phoneticPr fontId="1" type="noConversion"/>
  </si>
  <si>
    <t>羅技M100r</t>
    <phoneticPr fontId="1" type="noConversion"/>
  </si>
  <si>
    <t>庫存</t>
    <phoneticPr fontId="1" type="noConversion"/>
  </si>
  <si>
    <t>相機電池</t>
    <phoneticPr fontId="1" type="noConversion"/>
  </si>
  <si>
    <t>DMW-BLH7E</t>
    <phoneticPr fontId="1" type="noConversion"/>
  </si>
  <si>
    <t>WTR-5600C</t>
    <phoneticPr fontId="1" type="noConversion"/>
  </si>
  <si>
    <t>無線會議系統傳輸器</t>
    <phoneticPr fontId="1" type="noConversion"/>
  </si>
  <si>
    <t>大會議室投影</t>
    <phoneticPr fontId="1" type="noConversion"/>
  </si>
  <si>
    <t>(原有穩定性不夠)</t>
    <phoneticPr fontId="1" type="noConversion"/>
  </si>
  <si>
    <t>董事長</t>
    <phoneticPr fontId="3" type="noConversion"/>
  </si>
  <si>
    <t>總經理</t>
    <phoneticPr fontId="1" type="noConversion"/>
  </si>
  <si>
    <t xml:space="preserve">  　年   月   日</t>
    <phoneticPr fontId="1" type="noConversion"/>
  </si>
  <si>
    <r>
      <rPr>
        <sz val="14"/>
        <color rgb="FF000000"/>
        <rFont val="Wingdings 2"/>
        <family val="1"/>
        <charset val="2"/>
      </rPr>
      <t>£</t>
    </r>
    <r>
      <rPr>
        <sz val="12"/>
        <color rgb="FF000000"/>
        <rFont val="標楷體"/>
        <family val="4"/>
        <charset val="136"/>
      </rPr>
      <t xml:space="preserve">現金  </t>
    </r>
    <r>
      <rPr>
        <sz val="14"/>
        <color rgb="FF000000"/>
        <rFont val="Wingdings 2"/>
        <family val="1"/>
        <charset val="2"/>
      </rPr>
      <t>£</t>
    </r>
    <r>
      <rPr>
        <sz val="12"/>
        <color rgb="FF000000"/>
        <rFont val="標楷體"/>
        <family val="4"/>
        <charset val="136"/>
      </rPr>
      <t xml:space="preserve">匯款  </t>
    </r>
    <r>
      <rPr>
        <sz val="14"/>
        <color rgb="FF000000"/>
        <rFont val="Wingdings 2"/>
        <family val="1"/>
        <charset val="2"/>
      </rPr>
      <t>£</t>
    </r>
    <r>
      <rPr>
        <sz val="12"/>
        <color rgb="FF000000"/>
        <rFont val="標楷體"/>
        <family val="4"/>
        <charset val="136"/>
      </rPr>
      <t xml:space="preserve">月結 </t>
    </r>
    <phoneticPr fontId="1" type="noConversion"/>
  </si>
  <si>
    <t>董事長</t>
    <phoneticPr fontId="1" type="noConversion"/>
  </si>
  <si>
    <t>114年</t>
    <phoneticPr fontId="1" type="noConversion"/>
  </si>
  <si>
    <t>4月</t>
    <phoneticPr fontId="1" type="noConversion"/>
  </si>
  <si>
    <t>14日</t>
    <phoneticPr fontId="1" type="noConversion"/>
  </si>
  <si>
    <t>可折疊伸縮款展示架</t>
    <phoneticPr fontId="1" type="noConversion"/>
  </si>
  <si>
    <t>鋁合金</t>
    <phoneticPr fontId="1" type="noConversion"/>
  </si>
  <si>
    <t>6/25食品展用</t>
    <phoneticPr fontId="1" type="noConversion"/>
  </si>
  <si>
    <t>座</t>
    <phoneticPr fontId="1" type="noConversion"/>
  </si>
  <si>
    <t>6/25展會禮品(捲尺)</t>
    <phoneticPr fontId="1" type="noConversion"/>
  </si>
  <si>
    <t>圓形皮革</t>
    <phoneticPr fontId="1" type="noConversion"/>
  </si>
  <si>
    <t>展會發放</t>
    <phoneticPr fontId="1" type="noConversion"/>
  </si>
  <si>
    <t>個</t>
    <phoneticPr fontId="1" type="noConversion"/>
  </si>
  <si>
    <t>23日</t>
    <phoneticPr fontId="1" type="noConversion"/>
  </si>
  <si>
    <t>ViewSonic 攜帶式觸控螢幕TD1655</t>
    <phoneticPr fontId="1" type="noConversion"/>
  </si>
  <si>
    <t>16吋</t>
    <phoneticPr fontId="1" type="noConversion"/>
  </si>
  <si>
    <t>Andrew交辦購買</t>
    <phoneticPr fontId="1" type="noConversion"/>
  </si>
  <si>
    <t>台</t>
    <phoneticPr fontId="1" type="noConversion"/>
  </si>
  <si>
    <t>6/25展會禮品包裝盒</t>
    <phoneticPr fontId="1" type="noConversion"/>
  </si>
  <si>
    <t>黑色</t>
    <phoneticPr fontId="1" type="noConversion"/>
  </si>
  <si>
    <t>展會禮品包裝用</t>
    <phoneticPr fontId="1" type="noConversion"/>
  </si>
  <si>
    <t>6/25展會禮品包裝盒</t>
    <phoneticPr fontId="1" type="noConversion"/>
  </si>
  <si>
    <t>牛皮色</t>
    <phoneticPr fontId="1" type="noConversion"/>
  </si>
  <si>
    <t>展會禮品包裝用</t>
    <phoneticPr fontId="1" type="noConversion"/>
  </si>
  <si>
    <t>個</t>
    <phoneticPr fontId="1" type="noConversion"/>
  </si>
  <si>
    <t>25日</t>
    <phoneticPr fontId="1" type="noConversion"/>
  </si>
  <si>
    <t>禮品包裝盒測試品(一批)</t>
    <phoneticPr fontId="1" type="noConversion"/>
  </si>
  <si>
    <t>批</t>
    <phoneticPr fontId="1" type="noConversion"/>
  </si>
  <si>
    <t>衛生紙</t>
    <phoneticPr fontId="1" type="noConversion"/>
  </si>
  <si>
    <t>串</t>
    <phoneticPr fontId="1" type="noConversion"/>
  </si>
  <si>
    <t>行銷課共用</t>
    <phoneticPr fontId="1" type="noConversion"/>
  </si>
  <si>
    <t>串</t>
    <phoneticPr fontId="1" type="noConversion"/>
  </si>
  <si>
    <t>30日</t>
    <phoneticPr fontId="1" type="noConversion"/>
  </si>
  <si>
    <t>維修</t>
    <phoneticPr fontId="1" type="noConversion"/>
  </si>
  <si>
    <t>大廳外遮雨棚玻璃維修</t>
    <phoneticPr fontId="1" type="noConversion"/>
  </si>
  <si>
    <t>6.42尺*2.94尺</t>
    <phoneticPr fontId="1" type="noConversion"/>
  </si>
  <si>
    <t>連工帶料含稅含清運</t>
    <phoneticPr fontId="1" type="noConversion"/>
  </si>
  <si>
    <t>付款條件：安裝完成付現</t>
    <phoneticPr fontId="1" type="noConversion"/>
  </si>
  <si>
    <t>天車保養</t>
    <phoneticPr fontId="1" type="noConversion"/>
  </si>
  <si>
    <t>定期保養</t>
    <phoneticPr fontId="1" type="noConversion"/>
  </si>
  <si>
    <t>5月</t>
    <phoneticPr fontId="1" type="noConversion"/>
  </si>
  <si>
    <t>9日</t>
    <phoneticPr fontId="1" type="noConversion"/>
  </si>
  <si>
    <t>天車遙控器組更換</t>
    <phoneticPr fontId="1" type="noConversion"/>
  </si>
  <si>
    <t>F24全雙速</t>
    <phoneticPr fontId="1" type="noConversion"/>
  </si>
  <si>
    <t>原有故障更換</t>
    <phoneticPr fontId="1" type="noConversion"/>
  </si>
  <si>
    <t>付款條件：月結</t>
    <phoneticPr fontId="1" type="noConversion"/>
  </si>
  <si>
    <t>12日</t>
    <phoneticPr fontId="1" type="noConversion"/>
  </si>
  <si>
    <t>1公升</t>
    <phoneticPr fontId="1" type="noConversion"/>
  </si>
  <si>
    <t>罐</t>
    <phoneticPr fontId="1" type="noConversion"/>
  </si>
  <si>
    <t>虹牌油漆(財務室用)</t>
    <phoneticPr fontId="1" type="noConversion"/>
  </si>
  <si>
    <t>修繕</t>
    <phoneticPr fontId="1" type="noConversion"/>
  </si>
  <si>
    <t>冰箱門框封條(廠區一樓休息室用)</t>
    <phoneticPr fontId="1" type="noConversion"/>
  </si>
  <si>
    <t>修繕更換</t>
    <phoneticPr fontId="1" type="noConversion"/>
  </si>
  <si>
    <t>條</t>
    <phoneticPr fontId="1" type="noConversion"/>
  </si>
  <si>
    <t>SR-D35G</t>
    <phoneticPr fontId="1" type="noConversion"/>
  </si>
  <si>
    <t>6日</t>
    <phoneticPr fontId="1" type="noConversion"/>
  </si>
  <si>
    <t>6月</t>
    <phoneticPr fontId="1" type="noConversion"/>
  </si>
  <si>
    <t>3日</t>
    <phoneticPr fontId="1" type="noConversion"/>
  </si>
  <si>
    <t>一分二轉接插座</t>
    <phoneticPr fontId="1" type="noConversion"/>
  </si>
  <si>
    <t>大會議室</t>
    <phoneticPr fontId="1" type="noConversion"/>
  </si>
  <si>
    <t>機械式定時器</t>
    <phoneticPr fontId="1" type="noConversion"/>
  </si>
  <si>
    <t>110V</t>
    <phoneticPr fontId="1" type="noConversion"/>
  </si>
  <si>
    <t>個</t>
    <phoneticPr fontId="1" type="noConversion"/>
  </si>
  <si>
    <t>食品展用</t>
    <phoneticPr fontId="1" type="noConversion"/>
  </si>
  <si>
    <t>壓克力展示架</t>
    <phoneticPr fontId="1" type="noConversion"/>
  </si>
  <si>
    <t>壓克力名片架</t>
    <phoneticPr fontId="1" type="noConversion"/>
  </si>
  <si>
    <t>四格</t>
    <phoneticPr fontId="1" type="noConversion"/>
  </si>
  <si>
    <t>A4</t>
    <phoneticPr fontId="1" type="noConversion"/>
  </si>
  <si>
    <t>A5</t>
    <phoneticPr fontId="1" type="noConversion"/>
  </si>
  <si>
    <t>13日</t>
    <phoneticPr fontId="1" type="noConversion"/>
  </si>
  <si>
    <t>18日</t>
    <phoneticPr fontId="1" type="noConversion"/>
  </si>
  <si>
    <t>黑</t>
    <phoneticPr fontId="1" type="noConversion"/>
  </si>
  <si>
    <t>Wu所不在藍牙喇叭1組兩入</t>
    <phoneticPr fontId="1" type="noConversion"/>
  </si>
  <si>
    <t>Andrew交代購買</t>
    <phoneticPr fontId="1" type="noConversion"/>
  </si>
  <si>
    <t>偵煙器(消防缺失改善)</t>
    <phoneticPr fontId="1" type="noConversion"/>
  </si>
  <si>
    <t>廣播喇叭 (消防缺失改善)</t>
    <phoneticPr fontId="1" type="noConversion"/>
  </si>
  <si>
    <t>只</t>
    <phoneticPr fontId="1" type="noConversion"/>
  </si>
  <si>
    <t>只</t>
    <phoneticPr fontId="1" type="noConversion"/>
  </si>
  <si>
    <t>1日</t>
    <phoneticPr fontId="1" type="noConversion"/>
  </si>
  <si>
    <t>7月</t>
    <phoneticPr fontId="1" type="noConversion"/>
  </si>
  <si>
    <t>行銷主機擴充</t>
    <phoneticPr fontId="1" type="noConversion"/>
  </si>
  <si>
    <t>電服新進同仁</t>
    <phoneticPr fontId="1" type="noConversion"/>
  </si>
  <si>
    <t>有線鍵盤+滑鼠</t>
    <phoneticPr fontId="1" type="noConversion"/>
  </si>
  <si>
    <t>記憶體 DDR4 16G</t>
    <phoneticPr fontId="1" type="noConversion"/>
  </si>
  <si>
    <t>創見</t>
    <phoneticPr fontId="1" type="noConversion"/>
  </si>
  <si>
    <t>羅技</t>
    <phoneticPr fontId="1" type="noConversion"/>
  </si>
  <si>
    <t>電話線延長接頭</t>
    <phoneticPr fontId="1" type="noConversion"/>
  </si>
  <si>
    <t>研發部電話移位</t>
    <phoneticPr fontId="1" type="noConversion"/>
  </si>
  <si>
    <t>4入</t>
    <phoneticPr fontId="1" type="noConversion"/>
  </si>
  <si>
    <t>4日</t>
    <phoneticPr fontId="1" type="noConversion"/>
  </si>
  <si>
    <t>門口伸縮門旁小門鑰匙</t>
    <phoneticPr fontId="1" type="noConversion"/>
  </si>
  <si>
    <t>四台公務車一備用</t>
    <phoneticPr fontId="1" type="noConversion"/>
  </si>
  <si>
    <t>(費用依舊有資料預估)</t>
    <phoneticPr fontId="1" type="noConversion"/>
  </si>
  <si>
    <t>8日</t>
    <phoneticPr fontId="1" type="noConversion"/>
  </si>
  <si>
    <t>無線滑鼠</t>
    <phoneticPr fontId="1" type="noConversion"/>
  </si>
  <si>
    <t>ASUS M4</t>
    <phoneticPr fontId="1" type="noConversion"/>
  </si>
  <si>
    <t>電服新人</t>
    <phoneticPr fontId="1" type="noConversion"/>
  </si>
  <si>
    <t>11日</t>
    <phoneticPr fontId="1" type="noConversion"/>
  </si>
  <si>
    <t>22日</t>
    <phoneticPr fontId="1" type="noConversion"/>
  </si>
  <si>
    <t>高68*長60*寬38公分</t>
    <phoneticPr fontId="1" type="noConversion"/>
  </si>
  <si>
    <t>石磨流水</t>
    <phoneticPr fontId="1" type="noConversion"/>
  </si>
  <si>
    <t>運費</t>
    <phoneticPr fontId="1" type="noConversion"/>
  </si>
  <si>
    <t>式</t>
    <phoneticPr fontId="1" type="noConversion"/>
  </si>
  <si>
    <t>送禮SG-18</t>
    <phoneticPr fontId="1" type="noConversion"/>
  </si>
  <si>
    <t>SG18用</t>
    <phoneticPr fontId="1" type="noConversion"/>
  </si>
  <si>
    <t>降壓器</t>
    <phoneticPr fontId="1" type="noConversion"/>
  </si>
  <si>
    <t>電源一分三轉接頭</t>
    <phoneticPr fontId="1" type="noConversion"/>
  </si>
  <si>
    <t>MagSafe 3</t>
    <phoneticPr fontId="1" type="noConversion"/>
  </si>
  <si>
    <t>Andrew用</t>
    <phoneticPr fontId="1" type="noConversion"/>
  </si>
  <si>
    <t>8月</t>
    <phoneticPr fontId="1" type="noConversion"/>
  </si>
  <si>
    <t>aiboGaN 三孔快速充電器</t>
    <phoneticPr fontId="1" type="noConversion"/>
  </si>
  <si>
    <t>PD65W QC3.0</t>
    <phoneticPr fontId="1" type="noConversion"/>
  </si>
  <si>
    <t>Mcdodo 磁吸140W充電線</t>
    <phoneticPr fontId="1" type="noConversion"/>
  </si>
  <si>
    <t>9月</t>
    <phoneticPr fontId="1" type="noConversion"/>
  </si>
  <si>
    <t>除草劑一組</t>
    <phoneticPr fontId="1" type="noConversion"/>
  </si>
  <si>
    <t>1L+300ml</t>
    <phoneticPr fontId="1" type="noConversion"/>
  </si>
  <si>
    <t>廠房後方除草</t>
    <phoneticPr fontId="1" type="noConversion"/>
  </si>
  <si>
    <t>5L</t>
    <phoneticPr fontId="1" type="noConversion"/>
  </si>
  <si>
    <t>個</t>
    <phoneticPr fontId="1" type="noConversion"/>
  </si>
  <si>
    <t>5L氣壓式噴霧瓶</t>
    <phoneticPr fontId="1" type="noConversion"/>
  </si>
  <si>
    <t>15日</t>
    <phoneticPr fontId="1" type="noConversion"/>
  </si>
  <si>
    <t>RCX-7890遙控器電池</t>
    <phoneticPr fontId="1" type="noConversion"/>
  </si>
  <si>
    <t>CR1616</t>
    <phoneticPr fontId="1" type="noConversion"/>
  </si>
  <si>
    <t>遙控器沒電更換</t>
    <phoneticPr fontId="1" type="noConversion"/>
  </si>
  <si>
    <t>矽膠門把(業務門把防靜電用)</t>
    <phoneticPr fontId="1" type="noConversion"/>
  </si>
  <si>
    <t>2入</t>
    <phoneticPr fontId="1" type="noConversion"/>
  </si>
  <si>
    <t>WD硬碟</t>
    <phoneticPr fontId="1" type="noConversion"/>
  </si>
  <si>
    <t>紅標2TB</t>
    <phoneticPr fontId="1" type="noConversion"/>
  </si>
  <si>
    <t>NAS更換使用</t>
    <phoneticPr fontId="1" type="noConversion"/>
  </si>
  <si>
    <t>電腦包(售服新人用)</t>
    <phoneticPr fontId="1" type="noConversion"/>
  </si>
  <si>
    <t>15.6吋</t>
    <phoneticPr fontId="1" type="noConversion"/>
  </si>
  <si>
    <t>RFC-6621 加油</t>
    <phoneticPr fontId="1" type="noConversion"/>
  </si>
  <si>
    <t>機場停車費(接客戶)</t>
    <phoneticPr fontId="1" type="noConversion"/>
  </si>
  <si>
    <t>10月</t>
    <phoneticPr fontId="1" type="noConversion"/>
  </si>
  <si>
    <t>20W</t>
    <phoneticPr fontId="1" type="noConversion"/>
  </si>
  <si>
    <t>原有損壞更換</t>
    <phoneticPr fontId="1" type="noConversion"/>
  </si>
  <si>
    <r>
      <t>軌道燈</t>
    </r>
    <r>
      <rPr>
        <b/>
        <sz val="12"/>
        <color rgb="FF0F025E"/>
        <rFont val="標楷體"/>
        <family val="4"/>
        <charset val="136"/>
      </rPr>
      <t>(行政辦公室原有損壞更換)</t>
    </r>
    <phoneticPr fontId="1" type="noConversion"/>
  </si>
  <si>
    <t>損壞更換(辛申隆)</t>
    <phoneticPr fontId="1" type="noConversion"/>
  </si>
  <si>
    <t>電腦主機硬碟</t>
    <phoneticPr fontId="1" type="noConversion"/>
  </si>
  <si>
    <t>256G M.2</t>
    <phoneticPr fontId="1" type="noConversion"/>
  </si>
  <si>
    <t>支</t>
    <phoneticPr fontId="1" type="noConversion"/>
  </si>
  <si>
    <t>11月</t>
    <phoneticPr fontId="1" type="noConversion"/>
  </si>
  <si>
    <t>20日</t>
    <phoneticPr fontId="1" type="noConversion"/>
  </si>
  <si>
    <t>效能不足加裝</t>
    <phoneticPr fontId="1" type="noConversion"/>
  </si>
  <si>
    <t>支</t>
    <phoneticPr fontId="1" type="noConversion"/>
  </si>
  <si>
    <t>16G</t>
    <phoneticPr fontId="1" type="noConversion"/>
  </si>
  <si>
    <t>DDR4 記憶體</t>
    <phoneticPr fontId="1" type="noConversion"/>
  </si>
  <si>
    <t>08日</t>
    <phoneticPr fontId="1" type="noConversion"/>
  </si>
  <si>
    <t>RCX-7890雨刷片</t>
    <phoneticPr fontId="1" type="noConversion"/>
  </si>
  <si>
    <t>損壞更換</t>
    <phoneticPr fontId="1" type="noConversion"/>
  </si>
  <si>
    <t>飛瑞C-3000RN</t>
    <phoneticPr fontId="1" type="noConversion"/>
  </si>
  <si>
    <t>UPS</t>
    <phoneticPr fontId="1" type="noConversion"/>
  </si>
  <si>
    <t>損壞更換(機房)</t>
    <phoneticPr fontId="1" type="noConversion"/>
  </si>
  <si>
    <t>12月</t>
    <phoneticPr fontId="1" type="noConversion"/>
  </si>
  <si>
    <t>24日</t>
    <phoneticPr fontId="1" type="noConversion"/>
  </si>
  <si>
    <t>木森燈具</t>
    <phoneticPr fontId="1" type="noConversion"/>
  </si>
  <si>
    <t>150W</t>
    <phoneticPr fontId="1" type="noConversion"/>
  </si>
  <si>
    <t>損壞更換(招牌)</t>
    <phoneticPr fontId="1" type="noConversion"/>
  </si>
  <si>
    <t>吊車施工</t>
    <phoneticPr fontId="1" type="noConversion"/>
  </si>
  <si>
    <t>電鍍銀</t>
    <phoneticPr fontId="1" type="noConversion"/>
  </si>
  <si>
    <t>頂樓鐵網捕漆</t>
    <phoneticPr fontId="1" type="noConversion"/>
  </si>
  <si>
    <t>軌道燈</t>
    <phoneticPr fontId="1" type="noConversion"/>
  </si>
  <si>
    <t>15W</t>
    <phoneticPr fontId="1" type="noConversion"/>
  </si>
  <si>
    <t>損壞更換
(一樓辦公室)</t>
    <phoneticPr fontId="1" type="noConversion"/>
  </si>
  <si>
    <t>盞</t>
    <phoneticPr fontId="1" type="noConversion"/>
  </si>
  <si>
    <t>石材護理蠟</t>
    <phoneticPr fontId="1" type="noConversion"/>
  </si>
  <si>
    <t>海綿</t>
    <phoneticPr fontId="1" type="noConversion"/>
  </si>
  <si>
    <t>大廳外階梯保養</t>
    <phoneticPr fontId="1" type="noConversion"/>
  </si>
  <si>
    <t>80G</t>
    <phoneticPr fontId="1" type="noConversion"/>
  </si>
  <si>
    <t>動力線接頭</t>
    <phoneticPr fontId="1" type="noConversion"/>
  </si>
  <si>
    <t>20A 3P</t>
    <phoneticPr fontId="1" type="noConversion"/>
  </si>
  <si>
    <t>UPS轉市電接線用</t>
    <phoneticPr fontId="1" type="noConversion"/>
  </si>
  <si>
    <t>29日</t>
    <phoneticPr fontId="1" type="noConversion"/>
  </si>
  <si>
    <t>DP公轉HDMI母轉接頭</t>
    <phoneticPr fontId="1" type="noConversion"/>
  </si>
  <si>
    <t>魏曼如螢幕</t>
    <phoneticPr fontId="1" type="noConversion"/>
  </si>
  <si>
    <t>115年</t>
    <phoneticPr fontId="1" type="noConversion"/>
  </si>
  <si>
    <t>01月</t>
    <phoneticPr fontId="1" type="noConversion"/>
  </si>
  <si>
    <t>摸彩箱</t>
    <phoneticPr fontId="1" type="noConversion"/>
  </si>
  <si>
    <t>30CM</t>
    <phoneticPr fontId="1" type="noConversion"/>
  </si>
  <si>
    <t>行銷用</t>
    <phoneticPr fontId="1" type="noConversion"/>
  </si>
  <si>
    <t>損壞更換+備品
(一樓辦公室)</t>
    <phoneticPr fontId="1" type="noConversion"/>
  </si>
  <si>
    <t>標線漆</t>
    <phoneticPr fontId="1" type="noConversion"/>
  </si>
  <si>
    <t>停車場標線補漆</t>
    <phoneticPr fontId="1" type="noConversion"/>
  </si>
  <si>
    <t>黃色1加侖</t>
    <phoneticPr fontId="1" type="noConversion"/>
  </si>
  <si>
    <t>桶</t>
    <phoneticPr fontId="1" type="noConversion"/>
  </si>
  <si>
    <t>遮蔽膠帶</t>
    <phoneticPr fontId="1" type="noConversion"/>
  </si>
  <si>
    <t>油漆刷</t>
    <phoneticPr fontId="1" type="noConversion"/>
  </si>
  <si>
    <t>10CM</t>
    <phoneticPr fontId="1" type="noConversion"/>
  </si>
  <si>
    <t>MMS-555</t>
    <phoneticPr fontId="1" type="noConversion"/>
  </si>
  <si>
    <t>原有損壞</t>
    <phoneticPr fontId="1" type="noConversion"/>
  </si>
  <si>
    <r>
      <t>HDMI延長器</t>
    </r>
    <r>
      <rPr>
        <b/>
        <sz val="10"/>
        <color rgb="FF0F025E"/>
        <rFont val="標楷體"/>
        <family val="4"/>
        <charset val="136"/>
      </rPr>
      <t>(業務辦公室觀看監控畫面)</t>
    </r>
    <phoneticPr fontId="1" type="noConversion"/>
  </si>
  <si>
    <t>(未稅)</t>
    <phoneticPr fontId="1" type="noConversion"/>
  </si>
  <si>
    <t>1月</t>
    <phoneticPr fontId="1" type="noConversion"/>
  </si>
  <si>
    <t>21日</t>
    <phoneticPr fontId="1" type="noConversion"/>
  </si>
  <si>
    <t>一迴路</t>
    <phoneticPr fontId="1" type="noConversion"/>
  </si>
  <si>
    <t>線路故障</t>
    <phoneticPr fontId="1" type="noConversion"/>
  </si>
  <si>
    <t>消防線路查驗(不含後續維修)</t>
    <phoneticPr fontId="1" type="noConversion"/>
  </si>
  <si>
    <t>合約時間2026/03/13~2027/03/12</t>
    <phoneticPr fontId="1" type="noConversion"/>
  </si>
  <si>
    <t>沈水馬達(石來運轉使用)</t>
    <phoneticPr fontId="1" type="noConversion"/>
  </si>
  <si>
    <t>1200L</t>
    <phoneticPr fontId="1" type="noConversion"/>
  </si>
  <si>
    <t>07日</t>
    <phoneticPr fontId="1" type="noConversion"/>
  </si>
  <si>
    <t>抽獎箱</t>
    <phoneticPr fontId="1" type="noConversion"/>
  </si>
  <si>
    <t>春酒用</t>
    <phoneticPr fontId="1" type="noConversion"/>
  </si>
  <si>
    <t>26日</t>
    <phoneticPr fontId="1" type="noConversion"/>
  </si>
  <si>
    <r>
      <t>SkyFamily續約</t>
    </r>
    <r>
      <rPr>
        <b/>
        <sz val="10"/>
        <color rgb="FF0F025E"/>
        <rFont val="標楷體"/>
        <family val="4"/>
        <charset val="136"/>
      </rPr>
      <t>115/02/01/~116/01/31</t>
    </r>
    <phoneticPr fontId="1" type="noConversion"/>
  </si>
  <si>
    <t>02月</t>
    <phoneticPr fontId="1" type="noConversion"/>
  </si>
  <si>
    <t>05日</t>
    <phoneticPr fontId="1" type="noConversion"/>
  </si>
  <si>
    <t>普林得特厚紙 150GSM</t>
    <phoneticPr fontId="1" type="noConversion"/>
  </si>
  <si>
    <t>A4 象牙 25入</t>
    <phoneticPr fontId="1" type="noConversion"/>
  </si>
  <si>
    <t>A4 白色 35入</t>
    <phoneticPr fontId="1" type="noConversion"/>
  </si>
  <si>
    <t>製作分機表用</t>
    <phoneticPr fontId="1" type="noConversion"/>
  </si>
  <si>
    <t>春酒使用</t>
    <phoneticPr fontId="1" type="noConversion"/>
  </si>
  <si>
    <t>包</t>
    <phoneticPr fontId="1" type="noConversion"/>
  </si>
  <si>
    <t>黃色 一加侖</t>
    <phoneticPr fontId="1" type="noConversion"/>
  </si>
  <si>
    <t>木紋膠帶</t>
    <phoneticPr fontId="1" type="noConversion"/>
  </si>
  <si>
    <t>綠色</t>
    <phoneticPr fontId="1" type="noConversion"/>
  </si>
  <si>
    <t>3吋</t>
    <phoneticPr fontId="1" type="noConversion"/>
  </si>
  <si>
    <t>1吋</t>
    <phoneticPr fontId="1" type="noConversion"/>
  </si>
  <si>
    <t>職業安全衛生業務主管回訓</t>
    <phoneticPr fontId="1" type="noConversion"/>
  </si>
  <si>
    <t>人員：陳靖寰</t>
    <phoneticPr fontId="1" type="noConversion"/>
  </si>
  <si>
    <t>定期回訓</t>
    <phoneticPr fontId="1" type="noConversion"/>
  </si>
  <si>
    <t>馬年擺飾*2</t>
    <phoneticPr fontId="1" type="noConversion"/>
  </si>
  <si>
    <t>柵門遙控器</t>
    <phoneticPr fontId="1" type="noConversion"/>
  </si>
  <si>
    <t>RDD-8138+RFC-6621</t>
    <phoneticPr fontId="1" type="noConversion"/>
  </si>
  <si>
    <t>約1100</t>
    <phoneticPr fontId="1" type="noConversion"/>
  </si>
  <si>
    <t>03月</t>
    <phoneticPr fontId="1" type="noConversion"/>
  </si>
  <si>
    <t>02日</t>
    <phoneticPr fontId="1" type="noConversion"/>
  </si>
  <si>
    <t>450W</t>
    <phoneticPr fontId="1" type="noConversion"/>
  </si>
  <si>
    <t>庫存備用</t>
    <phoneticPr fontId="1" type="noConversion"/>
  </si>
  <si>
    <t>K120</t>
    <phoneticPr fontId="1" type="noConversion"/>
  </si>
  <si>
    <t>羅技 有線鍵盤</t>
    <phoneticPr fontId="1" type="noConversion"/>
  </si>
  <si>
    <t>顆</t>
    <phoneticPr fontId="1" type="noConversion"/>
  </si>
  <si>
    <t>希捷 2TB硬碟</t>
    <phoneticPr fontId="1" type="noConversion"/>
  </si>
  <si>
    <t>ST2000DM008</t>
    <phoneticPr fontId="1" type="noConversion"/>
  </si>
  <si>
    <t>NAS擴充用</t>
    <phoneticPr fontId="1" type="noConversion"/>
  </si>
  <si>
    <t>振華 銅牌電源供應器</t>
    <phoneticPr fontId="1" type="noConversion"/>
  </si>
  <si>
    <t>16日</t>
    <phoneticPr fontId="1" type="noConversion"/>
  </si>
  <si>
    <t>3月</t>
    <phoneticPr fontId="1" type="noConversion"/>
  </si>
  <si>
    <t>活頁 置物櫃用(放便當下方)</t>
    <phoneticPr fontId="1" type="noConversion"/>
  </si>
  <si>
    <t>擦手紙盒 (一樓女廁)</t>
    <phoneticPr fontId="1" type="noConversion"/>
  </si>
  <si>
    <t>逃生指示燈 (4樓*1 廠區後方*1)</t>
    <phoneticPr fontId="1" type="noConversion"/>
  </si>
  <si>
    <t>原有損壞及新增</t>
    <phoneticPr fontId="1" type="noConversion"/>
  </si>
  <si>
    <t>SH-131CSR-EX</t>
    <phoneticPr fontId="1" type="noConversion"/>
  </si>
  <si>
    <t>廠房屋簷修繕</t>
    <phoneticPr fontId="1" type="noConversion"/>
  </si>
  <si>
    <t>04月</t>
    <phoneticPr fontId="1" type="noConversion"/>
  </si>
  <si>
    <t>10日</t>
    <phoneticPr fontId="1" type="noConversion"/>
  </si>
  <si>
    <t>訂金25000 尾款完工後一周(匯款)</t>
    <phoneticPr fontId="1" type="noConversion"/>
  </si>
  <si>
    <t>詳如附件</t>
    <phoneticPr fontId="1" type="noConversion"/>
  </si>
  <si>
    <t>領款人</t>
    <phoneticPr fontId="7" type="noConversion"/>
  </si>
  <si>
    <t>總經理</t>
  </si>
  <si>
    <t>客戶編號</t>
    <phoneticPr fontId="1" type="noConversion"/>
  </si>
  <si>
    <t>GTUT聚圖</t>
    <phoneticPr fontId="1" type="noConversion"/>
  </si>
  <si>
    <t>申請人</t>
    <phoneticPr fontId="1" type="noConversion"/>
  </si>
  <si>
    <t>費 用 申 請 單</t>
    <phoneticPr fontId="3" type="noConversion"/>
  </si>
  <si>
    <t>網頁主機&amp;程式10G空間租賃115/05/15~116/05/14</t>
    <phoneticPr fontId="1" type="noConversion"/>
  </si>
  <si>
    <t>Rapid SSL安全憑證115/10/30~116/10/29</t>
    <phoneticPr fontId="1" type="noConversion"/>
  </si>
  <si>
    <t xml:space="preserve">  115年 04 月14 日</t>
    <phoneticPr fontId="1" type="noConversion"/>
  </si>
  <si>
    <r>
      <t>付款方式：</t>
    </r>
    <r>
      <rPr>
        <sz val="12"/>
        <color rgb="FF000000"/>
        <rFont val="標楷體"/>
        <family val="1"/>
        <charset val="136"/>
      </rPr>
      <t>□</t>
    </r>
    <r>
      <rPr>
        <sz val="12"/>
        <color rgb="FF000000"/>
        <rFont val="標楷體"/>
        <family val="4"/>
        <charset val="136"/>
      </rPr>
      <t xml:space="preserve">現金  </t>
    </r>
    <r>
      <rPr>
        <sz val="12"/>
        <color rgb="FF000000"/>
        <rFont val="標楷體"/>
        <family val="1"/>
        <charset val="136"/>
      </rPr>
      <t>□</t>
    </r>
    <r>
      <rPr>
        <sz val="12"/>
        <color rgb="FF000000"/>
        <rFont val="標楷體"/>
        <family val="4"/>
        <charset val="136"/>
      </rPr>
      <t xml:space="preserve">匯款  </t>
    </r>
    <r>
      <rPr>
        <sz val="12"/>
        <color rgb="FF000000"/>
        <rFont val="標楷體"/>
        <family val="1"/>
        <charset val="136"/>
      </rPr>
      <t>■</t>
    </r>
    <r>
      <rPr>
        <sz val="12"/>
        <color rgb="FF000000"/>
        <rFont val="標楷體"/>
        <family val="4"/>
        <charset val="136"/>
      </rPr>
      <t>月結 (       天)</t>
    </r>
    <phoneticPr fontId="1" type="noConversion"/>
  </si>
  <si>
    <t>10G</t>
    <phoneticPr fontId="1" type="noConversion"/>
  </si>
  <si>
    <r>
      <rPr>
        <b/>
        <sz val="12"/>
        <color rgb="FF0F025E"/>
        <rFont val="標楷體"/>
        <family val="4"/>
        <charset val="136"/>
      </rPr>
      <t>網頁主機&amp;程式空間租賃</t>
    </r>
    <r>
      <rPr>
        <b/>
        <sz val="8"/>
        <color rgb="FF0F025E"/>
        <rFont val="標楷體"/>
        <family val="4"/>
        <charset val="136"/>
      </rPr>
      <t>115/05/15~116/05/14</t>
    </r>
    <phoneticPr fontId="1" type="noConversion"/>
  </si>
  <si>
    <r>
      <rPr>
        <b/>
        <sz val="12"/>
        <color rgb="FF0F025E"/>
        <rFont val="標楷體"/>
        <family val="4"/>
        <charset val="136"/>
      </rPr>
      <t>Rapid SSL安全憑證</t>
    </r>
    <r>
      <rPr>
        <b/>
        <sz val="10"/>
        <color rgb="FF0F025E"/>
        <rFont val="標楷體"/>
        <family val="4"/>
        <charset val="136"/>
      </rPr>
      <t>115/10/30~116/10/29</t>
    </r>
    <phoneticPr fontId="1" type="noConversion"/>
  </si>
  <si>
    <t>原有續約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</si>
</sst>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#,##0_);[Red]\(#,##0\)"/>
    <numFmt numFmtId="178" formatCode="m&quot;月&quot;d&quot;日&quot;"/>
    <numFmt numFmtId="179" formatCode="General&quot;年&quot;"/>
    <numFmt numFmtId="180" formatCode="General&quot;月&quot;"/>
    <numFmt numFmtId="181" formatCode="General&quot;日&quot;"/>
  </numFmts>
  <fonts count="47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b/>
      <sz val="12"/>
      <color rgb="FF0F025E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2"/>
      <color rgb="FF0F025E"/>
      <name val="標楷體"/>
      <family val="4"/>
      <charset val="136"/>
    </font>
    <font>
      <sz val="12"/>
      <name val="新細明體"/>
      <family val="1"/>
      <charset val="136"/>
    </font>
    <font>
      <sz val="16"/>
      <color indexed="8"/>
      <name val="標楷體"/>
      <family val="4"/>
      <charset val="136"/>
    </font>
    <font>
      <sz val="9"/>
      <name val="新細明體"/>
      <family val="1"/>
      <charset val="136"/>
    </font>
    <font>
      <sz val="16"/>
      <color rgb="FF000000"/>
      <name val="標楷體"/>
      <family val="4"/>
      <charset val="136"/>
    </font>
    <font>
      <sz val="14"/>
      <color rgb="FF000000"/>
      <name val="標楷體"/>
      <family val="4"/>
      <charset val="136"/>
    </font>
    <font>
      <sz val="16"/>
      <name val="標楷體"/>
      <family val="4"/>
      <charset val="136"/>
    </font>
    <font>
      <sz val="12"/>
      <name val="標楷體"/>
      <family val="4"/>
      <charset val="136"/>
    </font>
    <font>
      <sz val="12"/>
      <color rgb="FF000000"/>
      <name val="標楷體"/>
      <family val="4"/>
      <charset val="136"/>
    </font>
    <font>
      <b/>
      <sz val="14"/>
      <color rgb="FF000000"/>
      <name val="標楷體"/>
      <family val="4"/>
      <charset val="136"/>
    </font>
    <font>
      <sz val="10"/>
      <name val="標楷體"/>
      <family val="4"/>
      <charset val="136"/>
    </font>
    <font>
      <sz val="14"/>
      <color indexed="8"/>
      <name val="華康仿宋體W6(P)"/>
      <family val="1"/>
      <charset val="136"/>
    </font>
    <font>
      <b/>
      <sz val="18"/>
      <color rgb="FF0F025E"/>
      <name val="標楷體"/>
      <family val="4"/>
      <charset val="136"/>
    </font>
    <font>
      <b/>
      <sz val="11"/>
      <color rgb="FF0F025E"/>
      <name val="標楷體"/>
      <family val="4"/>
      <charset val="136"/>
    </font>
    <font>
      <sz val="12"/>
      <color rgb="FF0F025E"/>
      <name val="標楷體"/>
      <family val="4"/>
      <charset val="136"/>
    </font>
    <font>
      <sz val="11"/>
      <color rgb="FF0F025E"/>
      <name val="標楷體"/>
      <family val="4"/>
      <charset val="136"/>
    </font>
    <font>
      <sz val="14"/>
      <color rgb="FF0F025E"/>
      <name val="標楷體"/>
      <family val="4"/>
      <charset val="136"/>
    </font>
    <font>
      <i/>
      <sz val="9"/>
      <color rgb="FF0F025E"/>
      <name val="標楷體"/>
      <family val="4"/>
      <charset val="136"/>
    </font>
    <font>
      <sz val="9"/>
      <color rgb="FF0F025E"/>
      <name val="標楷體"/>
      <family val="4"/>
      <charset val="136"/>
    </font>
    <font>
      <sz val="6"/>
      <color rgb="FF0F025E"/>
      <name val="標楷體"/>
      <family val="4"/>
      <charset val="136"/>
    </font>
    <font>
      <sz val="8"/>
      <color rgb="FF0F025E"/>
      <name val="標楷體"/>
      <family val="4"/>
      <charset val="136"/>
    </font>
    <font>
      <sz val="15"/>
      <color rgb="FF0F025E"/>
      <name val="標楷體"/>
      <family val="4"/>
      <charset val="136"/>
    </font>
    <font>
      <sz val="16"/>
      <color rgb="FF0F025E"/>
      <name val="標楷體"/>
      <family val="4"/>
      <charset val="136"/>
    </font>
    <font>
      <b/>
      <sz val="18"/>
      <color theme="1"/>
      <name val="標楷體"/>
      <family val="4"/>
      <charset val="136"/>
    </font>
    <font>
      <sz val="14"/>
      <color indexed="8"/>
      <name val="標楷體"/>
      <family val="4"/>
      <charset val="136"/>
    </font>
    <font>
      <b/>
      <sz val="16"/>
      <color rgb="FF0F025E"/>
      <name val="標楷體"/>
      <family val="4"/>
      <charset val="136"/>
    </font>
    <font>
      <sz val="12"/>
      <color indexed="8"/>
      <name val="標楷體"/>
      <family val="4"/>
      <charset val="136"/>
    </font>
    <font>
      <sz val="11"/>
      <color rgb="FF000000"/>
      <name val="標楷體"/>
      <family val="4"/>
      <charset val="136"/>
    </font>
    <font>
      <b/>
      <sz val="16"/>
      <color rgb="FF000000"/>
      <name val="標楷體"/>
      <family val="4"/>
      <charset val="136"/>
    </font>
    <font>
      <sz val="12"/>
      <color theme="1"/>
      <name val="標楷體"/>
      <family val="4"/>
      <charset val="136"/>
    </font>
    <font>
      <sz val="14"/>
      <color rgb="FF000000"/>
      <name val="Wingdings 2"/>
      <family val="1"/>
      <charset val="2"/>
    </font>
    <font>
      <sz val="12"/>
      <color rgb="FF000000"/>
      <name val="標楷體"/>
      <family val="1"/>
      <charset val="2"/>
    </font>
    <font>
      <b/>
      <sz val="15"/>
      <color rgb="FF0F025E"/>
      <name val="標楷體"/>
      <family val="4"/>
      <charset val="136"/>
    </font>
    <font>
      <sz val="11"/>
      <color theme="1"/>
      <name val="新細明體"/>
      <family val="1"/>
      <charset val="136"/>
      <scheme val="minor"/>
    </font>
    <font>
      <sz val="14"/>
      <color rgb="FF000000"/>
      <name val="Segoe UI Symbol"/>
      <family val="4"/>
    </font>
    <font>
      <b/>
      <sz val="10"/>
      <color rgb="FF0F025E"/>
      <name val="標楷體"/>
      <family val="4"/>
      <charset val="136"/>
    </font>
    <font>
      <sz val="10"/>
      <color rgb="FF0F025E"/>
      <name val="標楷體"/>
      <family val="4"/>
      <charset val="136"/>
    </font>
    <font>
      <b/>
      <sz val="14"/>
      <color rgb="FF0F025E"/>
      <name val="標楷體"/>
      <family val="4"/>
      <charset val="136"/>
    </font>
    <font>
      <sz val="9"/>
      <color indexed="81"/>
      <name val="Tahoma"/>
      <family val="2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sz val="12"/>
      <color rgb="FF000000"/>
      <name val="標楷體"/>
      <family val="1"/>
      <charset val="136"/>
    </font>
    <font>
      <b/>
      <sz val="8"/>
      <color rgb="FF0F025E"/>
      <name val="標楷體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medium">
        <color auto="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2499465926084170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1499679555650502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auto="1"/>
      </left>
      <right/>
      <top/>
      <bottom style="thin">
        <color theme="0" tint="-0.14996795556505021"/>
      </bottom>
      <diagonal/>
    </border>
    <border>
      <left style="thin">
        <color auto="1"/>
      </left>
      <right/>
      <top style="hair">
        <color auto="1"/>
      </top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5" fillId="0" borderId="0"/>
    <xf numFmtId="0" fontId="5" fillId="0" borderId="0">
      <alignment vertical="center"/>
    </xf>
  </cellStyleXfs>
  <cellXfs count="418">
    <xf numFmtId="0" fontId="0" fillId="0" borderId="0" xfId="0"/>
    <xf numFmtId="0" fontId="2" fillId="0" borderId="0" xfId="0" applyFont="1" applyAlignment="1">
      <alignment vertical="center"/>
    </xf>
    <xf numFmtId="0" fontId="5" fillId="0" borderId="0" xfId="2">
      <alignment vertical="center"/>
    </xf>
    <xf numFmtId="0" fontId="15" fillId="0" borderId="0" xfId="1" applyFont="1" applyAlignment="1">
      <alignment vertical="center"/>
    </xf>
    <xf numFmtId="9" fontId="5" fillId="0" borderId="0" xfId="2" applyNumberFormat="1">
      <alignment vertical="center"/>
    </xf>
    <xf numFmtId="0" fontId="20" fillId="2" borderId="7" xfId="0" applyFont="1" applyFill="1" applyBorder="1" applyAlignment="1">
      <alignment vertical="center"/>
    </xf>
    <xf numFmtId="0" fontId="20" fillId="2" borderId="8" xfId="0" applyFont="1" applyFill="1" applyBorder="1" applyAlignment="1">
      <alignment vertical="center"/>
    </xf>
    <xf numFmtId="0" fontId="20" fillId="2" borderId="9" xfId="0" applyFont="1" applyFill="1" applyBorder="1" applyAlignment="1">
      <alignment vertical="center"/>
    </xf>
    <xf numFmtId="0" fontId="20" fillId="2" borderId="10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23" fillId="2" borderId="31" xfId="0" applyFont="1" applyFill="1" applyBorder="1" applyAlignment="1">
      <alignment vertical="center"/>
    </xf>
    <xf numFmtId="0" fontId="23" fillId="2" borderId="32" xfId="0" applyFont="1" applyFill="1" applyBorder="1" applyAlignment="1">
      <alignment vertical="center"/>
    </xf>
    <xf numFmtId="0" fontId="23" fillId="2" borderId="11" xfId="0" applyFont="1" applyFill="1" applyBorder="1" applyAlignment="1">
      <alignment vertical="center"/>
    </xf>
    <xf numFmtId="0" fontId="23" fillId="2" borderId="33" xfId="0" applyFont="1" applyFill="1" applyBorder="1" applyAlignment="1">
      <alignment vertical="center"/>
    </xf>
    <xf numFmtId="0" fontId="23" fillId="2" borderId="34" xfId="0" applyFont="1" applyFill="1" applyBorder="1" applyAlignment="1">
      <alignment vertical="center"/>
    </xf>
    <xf numFmtId="0" fontId="6" fillId="0" borderId="36" xfId="1" applyFont="1" applyBorder="1" applyAlignment="1">
      <alignment horizontal="center" vertical="center"/>
    </xf>
    <xf numFmtId="0" fontId="9" fillId="0" borderId="2" xfId="1" applyFont="1" applyBorder="1" applyAlignment="1">
      <alignment vertical="center"/>
    </xf>
    <xf numFmtId="0" fontId="6" fillId="0" borderId="35" xfId="1" applyFont="1" applyBorder="1" applyAlignment="1">
      <alignment horizontal="center" vertical="center"/>
    </xf>
    <xf numFmtId="0" fontId="28" fillId="0" borderId="3" xfId="1" applyFont="1" applyBorder="1" applyAlignment="1">
      <alignment vertical="center"/>
    </xf>
    <xf numFmtId="0" fontId="11" fillId="0" borderId="14" xfId="2" applyFont="1" applyBorder="1" applyAlignment="1">
      <alignment vertical="top" wrapText="1"/>
    </xf>
    <xf numFmtId="0" fontId="13" fillId="0" borderId="15" xfId="2" applyFont="1" applyBorder="1" applyAlignment="1">
      <alignment horizontal="center" vertical="center" wrapText="1"/>
    </xf>
    <xf numFmtId="0" fontId="14" fillId="0" borderId="15" xfId="2" applyFont="1" applyBorder="1" applyAlignment="1">
      <alignment horizontal="center" vertical="center" wrapText="1"/>
    </xf>
    <xf numFmtId="0" fontId="14" fillId="0" borderId="13" xfId="2" applyFont="1" applyBorder="1" applyAlignment="1">
      <alignment horizontal="center" vertical="center" wrapText="1"/>
    </xf>
    <xf numFmtId="0" fontId="31" fillId="0" borderId="29" xfId="1" applyFont="1" applyBorder="1" applyAlignment="1">
      <alignment horizontal="center" vertical="distributed"/>
    </xf>
    <xf numFmtId="0" fontId="31" fillId="0" borderId="1" xfId="1" applyFont="1" applyBorder="1" applyAlignment="1">
      <alignment horizontal="center" vertical="distributed"/>
    </xf>
    <xf numFmtId="0" fontId="15" fillId="0" borderId="27" xfId="1" applyFont="1" applyBorder="1" applyAlignment="1">
      <alignment vertical="center"/>
    </xf>
    <xf numFmtId="0" fontId="5" fillId="0" borderId="20" xfId="2" applyBorder="1">
      <alignment vertical="center"/>
    </xf>
    <xf numFmtId="0" fontId="11" fillId="0" borderId="4" xfId="2" applyFont="1" applyBorder="1" applyAlignment="1">
      <alignment horizontal="center" vertical="center" wrapText="1"/>
    </xf>
    <xf numFmtId="0" fontId="11" fillId="0" borderId="41" xfId="2" applyFont="1" applyBorder="1" applyAlignment="1">
      <alignment horizontal="center" vertical="center" wrapText="1"/>
    </xf>
    <xf numFmtId="0" fontId="12" fillId="0" borderId="47" xfId="2" applyFont="1" applyBorder="1" applyAlignment="1">
      <alignment horizontal="center" vertical="center" wrapText="1"/>
    </xf>
    <xf numFmtId="0" fontId="12" fillId="0" borderId="48" xfId="2" applyFont="1" applyBorder="1" applyAlignment="1">
      <alignment horizontal="center" vertical="center" wrapText="1"/>
    </xf>
    <xf numFmtId="0" fontId="12" fillId="0" borderId="49" xfId="2" applyFont="1" applyBorder="1" applyAlignment="1">
      <alignment horizontal="center" vertical="center" wrapText="1"/>
    </xf>
    <xf numFmtId="0" fontId="12" fillId="0" borderId="50" xfId="2" applyFont="1" applyBorder="1" applyAlignment="1">
      <alignment horizontal="center" vertical="center" wrapText="1"/>
    </xf>
    <xf numFmtId="0" fontId="12" fillId="0" borderId="51" xfId="2" applyFont="1" applyBorder="1" applyAlignment="1">
      <alignment horizontal="center" vertical="center" wrapText="1"/>
    </xf>
    <xf numFmtId="0" fontId="12" fillId="0" borderId="52" xfId="2" applyFont="1" applyBorder="1" applyAlignment="1">
      <alignment horizontal="center" vertical="center" wrapText="1"/>
    </xf>
    <xf numFmtId="0" fontId="12" fillId="0" borderId="53" xfId="2" applyFont="1" applyBorder="1" applyAlignment="1">
      <alignment horizontal="center" vertical="center" wrapText="1"/>
    </xf>
    <xf numFmtId="177" fontId="21" fillId="3" borderId="9" xfId="0" applyNumberFormat="1" applyFont="1" applyFill="1" applyBorder="1" applyAlignment="1">
      <alignment vertical="center"/>
    </xf>
    <xf numFmtId="177" fontId="21" fillId="3" borderId="17" xfId="0" applyNumberFormat="1" applyFont="1" applyFill="1" applyBorder="1" applyAlignment="1">
      <alignment vertical="center"/>
    </xf>
    <xf numFmtId="177" fontId="22" fillId="3" borderId="9" xfId="0" applyNumberFormat="1" applyFont="1" applyFill="1" applyBorder="1" applyAlignment="1">
      <alignment vertical="center"/>
    </xf>
    <xf numFmtId="178" fontId="22" fillId="3" borderId="17" xfId="0" applyNumberFormat="1" applyFont="1" applyFill="1" applyBorder="1" applyAlignment="1">
      <alignment vertical="center"/>
    </xf>
    <xf numFmtId="177" fontId="24" fillId="3" borderId="34" xfId="0" applyNumberFormat="1" applyFont="1" applyFill="1" applyBorder="1" applyAlignment="1">
      <alignment horizontal="right" vertical="center"/>
    </xf>
    <xf numFmtId="177" fontId="24" fillId="3" borderId="19" xfId="0" applyNumberFormat="1" applyFont="1" applyFill="1" applyBorder="1" applyAlignment="1">
      <alignment vertical="center"/>
    </xf>
    <xf numFmtId="0" fontId="15" fillId="4" borderId="38" xfId="1" applyFont="1" applyFill="1" applyBorder="1" applyAlignment="1">
      <alignment vertical="center"/>
    </xf>
    <xf numFmtId="0" fontId="15" fillId="4" borderId="27" xfId="1" applyFont="1" applyFill="1" applyBorder="1" applyAlignment="1">
      <alignment vertical="center"/>
    </xf>
    <xf numFmtId="0" fontId="15" fillId="4" borderId="28" xfId="1" applyFont="1" applyFill="1" applyBorder="1" applyAlignment="1">
      <alignment vertical="center"/>
    </xf>
    <xf numFmtId="0" fontId="15" fillId="4" borderId="7" xfId="1" applyFont="1" applyFill="1" applyBorder="1" applyAlignment="1">
      <alignment vertical="center"/>
    </xf>
    <xf numFmtId="0" fontId="15" fillId="4" borderId="0" xfId="1" applyFont="1" applyFill="1" applyAlignment="1">
      <alignment vertical="center"/>
    </xf>
    <xf numFmtId="0" fontId="15" fillId="4" borderId="17" xfId="1" applyFont="1" applyFill="1" applyBorder="1" applyAlignment="1">
      <alignment vertical="center"/>
    </xf>
    <xf numFmtId="0" fontId="12" fillId="0" borderId="58" xfId="2" applyFont="1" applyBorder="1" applyAlignment="1">
      <alignment horizontal="center" vertical="center" wrapText="1"/>
    </xf>
    <xf numFmtId="0" fontId="12" fillId="0" borderId="59" xfId="2" applyFont="1" applyBorder="1" applyAlignment="1">
      <alignment horizontal="center" vertical="center" wrapText="1"/>
    </xf>
    <xf numFmtId="0" fontId="12" fillId="0" borderId="60" xfId="2" applyFont="1" applyBorder="1" applyAlignment="1">
      <alignment horizontal="center" vertical="center" wrapText="1"/>
    </xf>
    <xf numFmtId="0" fontId="12" fillId="0" borderId="61" xfId="2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9" fillId="0" borderId="66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4" fillId="0" borderId="66" xfId="0" applyFont="1" applyBorder="1" applyAlignment="1">
      <alignment vertical="center"/>
    </xf>
    <xf numFmtId="0" fontId="26" fillId="0" borderId="66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78" xfId="0" applyFont="1" applyBorder="1" applyAlignment="1">
      <alignment vertical="center"/>
    </xf>
    <xf numFmtId="0" fontId="18" fillId="0" borderId="56" xfId="0" applyFont="1" applyBorder="1" applyAlignment="1">
      <alignment vertical="center"/>
    </xf>
    <xf numFmtId="0" fontId="18" fillId="0" borderId="75" xfId="0" applyFont="1" applyBorder="1" applyAlignment="1">
      <alignment vertical="center"/>
    </xf>
    <xf numFmtId="0" fontId="19" fillId="0" borderId="75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8" fillId="0" borderId="75" xfId="0" applyFont="1" applyBorder="1" applyAlignment="1">
      <alignment horizontal="right" vertical="center"/>
    </xf>
    <xf numFmtId="0" fontId="17" fillId="0" borderId="62" xfId="0" applyFont="1" applyBorder="1" applyAlignment="1">
      <alignment vertical="center"/>
    </xf>
    <xf numFmtId="0" fontId="19" fillId="0" borderId="22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8" fillId="0" borderId="84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12" fillId="0" borderId="85" xfId="2" applyFont="1" applyBorder="1" applyAlignment="1">
      <alignment horizontal="center" vertical="center" wrapText="1"/>
    </xf>
    <xf numFmtId="0" fontId="12" fillId="0" borderId="86" xfId="2" applyFont="1" applyBorder="1" applyAlignment="1">
      <alignment horizontal="center" vertical="center" wrapText="1"/>
    </xf>
    <xf numFmtId="0" fontId="12" fillId="0" borderId="87" xfId="2" applyFont="1" applyBorder="1" applyAlignment="1">
      <alignment horizontal="center" vertical="center" wrapText="1"/>
    </xf>
    <xf numFmtId="0" fontId="12" fillId="0" borderId="88" xfId="2" applyFont="1" applyBorder="1" applyAlignment="1">
      <alignment horizontal="center" vertical="center" wrapText="1"/>
    </xf>
    <xf numFmtId="0" fontId="12" fillId="0" borderId="89" xfId="2" applyFont="1" applyBorder="1" applyAlignment="1">
      <alignment horizontal="center" vertical="center" wrapText="1"/>
    </xf>
    <xf numFmtId="0" fontId="12" fillId="0" borderId="90" xfId="2" applyFont="1" applyBorder="1" applyAlignment="1">
      <alignment horizontal="center" vertical="center" wrapText="1"/>
    </xf>
    <xf numFmtId="0" fontId="12" fillId="0" borderId="91" xfId="2" applyFont="1" applyBorder="1" applyAlignment="1">
      <alignment horizontal="center" vertical="center" wrapText="1"/>
    </xf>
    <xf numFmtId="0" fontId="12" fillId="0" borderId="92" xfId="2" applyFont="1" applyBorder="1" applyAlignment="1">
      <alignment horizontal="center" vertical="center" wrapText="1"/>
    </xf>
    <xf numFmtId="0" fontId="12" fillId="0" borderId="93" xfId="2" applyFont="1" applyBorder="1" applyAlignment="1">
      <alignment horizontal="center" vertical="center" wrapText="1"/>
    </xf>
    <xf numFmtId="0" fontId="12" fillId="0" borderId="94" xfId="2" applyFont="1" applyBorder="1" applyAlignment="1">
      <alignment horizontal="center" vertical="center" wrapText="1"/>
    </xf>
    <xf numFmtId="0" fontId="12" fillId="0" borderId="95" xfId="2" applyFont="1" applyBorder="1" applyAlignment="1">
      <alignment horizontal="center" vertical="center" wrapText="1"/>
    </xf>
    <xf numFmtId="0" fontId="12" fillId="0" borderId="68" xfId="2" applyFont="1" applyBorder="1" applyAlignment="1">
      <alignment horizontal="center" vertical="center" wrapText="1"/>
    </xf>
    <xf numFmtId="0" fontId="32" fillId="0" borderId="96" xfId="2" applyFont="1" applyBorder="1" applyAlignment="1">
      <alignment horizontal="center" vertical="center" wrapText="1"/>
    </xf>
    <xf numFmtId="0" fontId="12" fillId="0" borderId="65" xfId="2" applyFont="1" applyBorder="1" applyAlignment="1">
      <alignment horizontal="center" vertical="center" wrapText="1"/>
    </xf>
    <xf numFmtId="0" fontId="12" fillId="0" borderId="66" xfId="2" applyFont="1" applyBorder="1" applyAlignment="1">
      <alignment horizontal="center" vertical="center" wrapText="1"/>
    </xf>
    <xf numFmtId="0" fontId="12" fillId="0" borderId="67" xfId="2" applyFont="1" applyBorder="1" applyAlignment="1">
      <alignment horizontal="center" vertical="center" wrapText="1"/>
    </xf>
    <xf numFmtId="0" fontId="35" fillId="0" borderId="64" xfId="2" applyFont="1" applyBorder="1" applyAlignment="1">
      <alignment horizontal="left" vertical="center"/>
    </xf>
    <xf numFmtId="0" fontId="12" fillId="0" borderId="80" xfId="2" applyFont="1" applyBorder="1" applyAlignment="1">
      <alignment horizontal="center" vertical="center"/>
    </xf>
    <xf numFmtId="0" fontId="12" fillId="0" borderId="78" xfId="2" applyFont="1" applyBorder="1" applyAlignment="1">
      <alignment horizontal="center" vertical="center"/>
    </xf>
    <xf numFmtId="0" fontId="12" fillId="0" borderId="81" xfId="2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5" xfId="0" applyFont="1" applyBorder="1" applyAlignment="1">
      <alignment horizontal="center" vertical="center"/>
    </xf>
    <xf numFmtId="0" fontId="18" fillId="0" borderId="77" xfId="0" applyFont="1" applyBorder="1" applyAlignment="1">
      <alignment horizontal="center" vertical="center"/>
    </xf>
    <xf numFmtId="0" fontId="18" fillId="0" borderId="78" xfId="0" applyFont="1" applyBorder="1" applyAlignment="1">
      <alignment horizontal="center" vertical="center"/>
    </xf>
    <xf numFmtId="180" fontId="29" fillId="0" borderId="24" xfId="0" applyNumberFormat="1" applyFont="1" applyBorder="1" applyAlignment="1">
      <alignment horizontal="right" vertical="center"/>
    </xf>
    <xf numFmtId="181" fontId="29" fillId="0" borderId="25" xfId="0" applyNumberFormat="1" applyFont="1" applyBorder="1" applyAlignment="1">
      <alignment horizontal="right" vertical="center"/>
    </xf>
    <xf numFmtId="179" fontId="36" fillId="0" borderId="26" xfId="0" applyNumberFormat="1" applyFont="1" applyBorder="1" applyAlignment="1">
      <alignment horizontal="right" vertical="center"/>
    </xf>
    <xf numFmtId="0" fontId="18" fillId="0" borderId="6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100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1" xfId="2" applyFont="1" applyBorder="1" applyAlignment="1">
      <alignment horizontal="center" vertical="distributed"/>
    </xf>
    <xf numFmtId="0" fontId="8" fillId="0" borderId="96" xfId="2" applyFont="1" applyBorder="1" applyAlignment="1">
      <alignment horizontal="center" vertical="center" wrapText="1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1" xfId="2" applyFont="1" applyBorder="1" applyAlignment="1">
      <alignment horizontal="center" vertical="distributed"/>
    </xf>
    <xf numFmtId="0" fontId="18" fillId="0" borderId="76" xfId="0" applyFont="1" applyBorder="1" applyAlignment="1">
      <alignment horizontal="center" vertical="center"/>
    </xf>
    <xf numFmtId="0" fontId="12" fillId="0" borderId="69" xfId="2" applyFont="1" applyBorder="1" applyAlignment="1">
      <alignment horizontal="center" vertical="center" wrapText="1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41" fillId="0" borderId="26" xfId="0" applyFont="1" applyBorder="1" applyAlignment="1">
      <alignment horizontal="right" vertical="center"/>
    </xf>
    <xf numFmtId="0" fontId="41" fillId="0" borderId="24" xfId="0" applyFont="1" applyBorder="1" applyAlignment="1">
      <alignment horizontal="right" vertical="center"/>
    </xf>
    <xf numFmtId="0" fontId="41" fillId="0" borderId="25" xfId="0" applyFont="1" applyBorder="1" applyAlignment="1">
      <alignment horizontal="right" vertical="center"/>
    </xf>
    <xf numFmtId="0" fontId="18" fillId="0" borderId="79" xfId="0" applyFont="1" applyBorder="1" applyAlignment="1">
      <alignment vertical="center"/>
    </xf>
    <xf numFmtId="0" fontId="18" fillId="0" borderId="70" xfId="0" applyFont="1" applyBorder="1" applyAlignment="1">
      <alignment vertical="center"/>
    </xf>
    <xf numFmtId="0" fontId="20" fillId="0" borderId="79" xfId="0" applyFont="1" applyBorder="1" applyAlignment="1">
      <alignment vertical="center"/>
    </xf>
    <xf numFmtId="0" fontId="18" fillId="0" borderId="66" xfId="0" quotePrefix="1" applyFont="1" applyBorder="1" applyAlignment="1">
      <alignment vertical="center"/>
    </xf>
    <xf numFmtId="0" fontId="18" fillId="0" borderId="66" xfId="0" applyFont="1" applyBorder="1" applyAlignment="1">
      <alignment vertical="center"/>
    </xf>
    <xf numFmtId="0" fontId="20" fillId="0" borderId="75" xfId="0" applyFont="1" applyBorder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8" fillId="0" borderId="83" xfId="2" applyFont="1" applyBorder="1" applyAlignment="1">
      <alignment horizontal="center" vertical="center" wrapText="1"/>
    </xf>
    <xf numFmtId="0" fontId="12" fillId="0" borderId="46" xfId="2" applyFont="1" applyBorder="1" applyAlignment="1">
      <alignment horizontal="center" vertical="center" wrapText="1"/>
    </xf>
    <xf numFmtId="0" fontId="15" fillId="5" borderId="38" xfId="1" applyFont="1" applyFill="1" applyBorder="1" applyAlignment="1">
      <alignment vertical="center"/>
    </xf>
    <xf numFmtId="0" fontId="15" fillId="5" borderId="27" xfId="1" applyFont="1" applyFill="1" applyBorder="1" applyAlignment="1">
      <alignment vertical="center"/>
    </xf>
    <xf numFmtId="0" fontId="15" fillId="5" borderId="28" xfId="1" applyFont="1" applyFill="1" applyBorder="1" applyAlignment="1">
      <alignment vertical="center"/>
    </xf>
    <xf numFmtId="0" fontId="15" fillId="5" borderId="7" xfId="1" applyFont="1" applyFill="1" applyBorder="1" applyAlignment="1">
      <alignment vertical="center"/>
    </xf>
    <xf numFmtId="0" fontId="15" fillId="5" borderId="0" xfId="1" applyFont="1" applyFill="1" applyAlignment="1">
      <alignment vertical="center"/>
    </xf>
    <xf numFmtId="0" fontId="15" fillId="5" borderId="17" xfId="1" applyFont="1" applyFill="1" applyBorder="1" applyAlignment="1">
      <alignment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9" fillId="0" borderId="70" xfId="0" applyFont="1" applyBorder="1" applyAlignment="1">
      <alignment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40" fillId="0" borderId="70" xfId="0" applyFont="1" applyBorder="1" applyAlignment="1">
      <alignment vertical="center"/>
    </xf>
    <xf numFmtId="0" fontId="40" fillId="0" borderId="66" xfId="0" applyFont="1" applyBorder="1" applyAlignment="1">
      <alignment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22" fillId="0" borderId="70" xfId="0" applyFont="1" applyBorder="1" applyAlignment="1">
      <alignment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40" fillId="0" borderId="104" xfId="0" applyFont="1" applyBorder="1" applyAlignment="1">
      <alignment vertical="center"/>
    </xf>
    <xf numFmtId="0" fontId="40" fillId="0" borderId="38" xfId="0" applyFont="1" applyBorder="1" applyAlignment="1">
      <alignment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40" fillId="0" borderId="27" xfId="0" applyFont="1" applyBorder="1" applyAlignment="1">
      <alignment vertical="center"/>
    </xf>
    <xf numFmtId="0" fontId="40" fillId="0" borderId="105" xfId="0" applyFont="1" applyBorder="1" applyAlignment="1">
      <alignment vertical="center"/>
    </xf>
    <xf numFmtId="0" fontId="40" fillId="0" borderId="106" xfId="0" applyFont="1" applyBorder="1" applyAlignment="1">
      <alignment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1" xfId="2" applyFont="1" applyBorder="1" applyAlignment="1">
      <alignment horizontal="center" vertical="distributed"/>
    </xf>
    <xf numFmtId="0" fontId="18" fillId="0" borderId="76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0" fontId="5" fillId="0" borderId="15" xfId="2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9" fillId="0" borderId="12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9" fillId="0" borderId="14" xfId="2" applyFont="1" applyBorder="1" applyAlignment="1">
      <alignment horizontal="center" vertical="center" wrapText="1"/>
    </xf>
    <xf numFmtId="0" fontId="9" fillId="0" borderId="15" xfId="2" applyFont="1" applyBorder="1" applyAlignment="1">
      <alignment horizontal="center" vertical="center" wrapText="1"/>
    </xf>
    <xf numFmtId="0" fontId="9" fillId="0" borderId="40" xfId="2" applyFont="1" applyBorder="1" applyAlignment="1">
      <alignment horizontal="center" vertical="center" wrapText="1"/>
    </xf>
    <xf numFmtId="0" fontId="9" fillId="0" borderId="18" xfId="2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9" fillId="0" borderId="31" xfId="2" applyFont="1" applyBorder="1" applyAlignment="1">
      <alignment horizontal="center" vertical="center" wrapText="1"/>
    </xf>
    <xf numFmtId="0" fontId="10" fillId="0" borderId="57" xfId="2" applyFont="1" applyBorder="1" applyAlignment="1">
      <alignment horizontal="center" vertical="center"/>
    </xf>
    <xf numFmtId="0" fontId="10" fillId="0" borderId="37" xfId="2" applyFont="1" applyBorder="1" applyAlignment="1">
      <alignment horizontal="center" vertical="center"/>
    </xf>
    <xf numFmtId="0" fontId="10" fillId="0" borderId="42" xfId="2" applyFont="1" applyBorder="1">
      <alignment vertical="center"/>
    </xf>
    <xf numFmtId="0" fontId="0" fillId="0" borderId="15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9" xfId="0" applyBorder="1" applyAlignment="1">
      <alignment vertical="center"/>
    </xf>
    <xf numFmtId="0" fontId="33" fillId="0" borderId="14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0" fontId="33" fillId="0" borderId="40" xfId="0" applyFont="1" applyBorder="1" applyAlignment="1">
      <alignment horizontal="center" vertical="center" wrapText="1"/>
    </xf>
    <xf numFmtId="0" fontId="33" fillId="0" borderId="82" xfId="0" applyFont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11" fillId="0" borderId="43" xfId="2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177" fontId="30" fillId="0" borderId="1" xfId="1" applyNumberFormat="1" applyFont="1" applyBorder="1" applyAlignment="1">
      <alignment horizontal="center" vertical="distributed"/>
    </xf>
    <xf numFmtId="0" fontId="11" fillId="0" borderId="1" xfId="2" applyFont="1" applyBorder="1" applyAlignment="1">
      <alignment horizontal="center" vertical="distributed"/>
    </xf>
    <xf numFmtId="177" fontId="30" fillId="5" borderId="1" xfId="1" applyNumberFormat="1" applyFont="1" applyFill="1" applyBorder="1" applyAlignment="1">
      <alignment horizontal="center" vertical="distributed"/>
    </xf>
    <xf numFmtId="0" fontId="11" fillId="5" borderId="1" xfId="2" applyFont="1" applyFill="1" applyBorder="1" applyAlignment="1">
      <alignment horizontal="center" vertical="distributed"/>
    </xf>
    <xf numFmtId="0" fontId="11" fillId="5" borderId="30" xfId="2" applyFont="1" applyFill="1" applyBorder="1" applyAlignment="1">
      <alignment horizontal="center" vertical="distributed"/>
    </xf>
    <xf numFmtId="0" fontId="15" fillId="0" borderId="38" xfId="1" applyFont="1" applyBorder="1" applyAlignment="1">
      <alignment horizontal="center" vertical="center"/>
    </xf>
    <xf numFmtId="0" fontId="15" fillId="0" borderId="27" xfId="1" applyFont="1" applyBorder="1" applyAlignment="1">
      <alignment horizontal="center" vertical="center"/>
    </xf>
    <xf numFmtId="0" fontId="15" fillId="0" borderId="39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5" fillId="0" borderId="32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31" xfId="1" applyFont="1" applyBorder="1" applyAlignment="1">
      <alignment horizontal="center" vertical="center"/>
    </xf>
    <xf numFmtId="0" fontId="41" fillId="0" borderId="97" xfId="0" applyFont="1" applyBorder="1" applyAlignment="1">
      <alignment horizontal="left" vertical="center"/>
    </xf>
    <xf numFmtId="0" fontId="41" fillId="0" borderId="70" xfId="0" applyFont="1" applyBorder="1" applyAlignment="1">
      <alignment horizontal="left" vertical="center"/>
    </xf>
    <xf numFmtId="0" fontId="41" fillId="0" borderId="79" xfId="0" applyFont="1" applyBorder="1" applyAlignment="1">
      <alignment horizontal="left" vertical="center"/>
    </xf>
    <xf numFmtId="176" fontId="18" fillId="0" borderId="97" xfId="0" applyNumberFormat="1" applyFont="1" applyBorder="1" applyAlignment="1">
      <alignment vertical="center"/>
    </xf>
    <xf numFmtId="176" fontId="18" fillId="0" borderId="71" xfId="0" applyNumberFormat="1" applyFont="1" applyBorder="1" applyAlignment="1">
      <alignment vertical="center"/>
    </xf>
    <xf numFmtId="176" fontId="18" fillId="0" borderId="98" xfId="0" applyNumberFormat="1" applyFont="1" applyBorder="1" applyAlignment="1">
      <alignment horizontal="right" vertical="center"/>
    </xf>
    <xf numFmtId="176" fontId="18" fillId="0" borderId="67" xfId="0" applyNumberFormat="1" applyFont="1" applyBorder="1" applyAlignment="1">
      <alignment horizontal="right" vertical="center"/>
    </xf>
    <xf numFmtId="176" fontId="18" fillId="0" borderId="66" xfId="0" applyNumberFormat="1" applyFont="1" applyBorder="1" applyAlignment="1">
      <alignment vertical="center"/>
    </xf>
    <xf numFmtId="176" fontId="18" fillId="0" borderId="67" xfId="0" applyNumberFormat="1" applyFont="1" applyBorder="1" applyAlignment="1">
      <alignment vertical="center"/>
    </xf>
    <xf numFmtId="0" fontId="41" fillId="0" borderId="98" xfId="0" applyFont="1" applyBorder="1" applyAlignment="1">
      <alignment horizontal="left" vertical="center" wrapText="1"/>
    </xf>
    <xf numFmtId="0" fontId="41" fillId="0" borderId="66" xfId="0" applyFont="1" applyBorder="1" applyAlignment="1">
      <alignment horizontal="left" vertical="center"/>
    </xf>
    <xf numFmtId="0" fontId="41" fillId="0" borderId="75" xfId="0" applyFont="1" applyBorder="1" applyAlignment="1">
      <alignment horizontal="left" vertical="center"/>
    </xf>
    <xf numFmtId="0" fontId="4" fillId="0" borderId="98" xfId="0" applyFont="1" applyBorder="1" applyAlignment="1">
      <alignment horizontal="left" vertical="center"/>
    </xf>
    <xf numFmtId="0" fontId="4" fillId="0" borderId="66" xfId="0" applyFont="1" applyBorder="1" applyAlignment="1">
      <alignment horizontal="left" vertical="center"/>
    </xf>
    <xf numFmtId="0" fontId="4" fillId="0" borderId="75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6" fillId="0" borderId="26" xfId="0" applyFont="1" applyBorder="1" applyAlignment="1">
      <alignment horizontal="center" vertical="center" wrapText="1"/>
    </xf>
    <xf numFmtId="0" fontId="26" fillId="0" borderId="73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176" fontId="18" fillId="0" borderId="44" xfId="0" applyNumberFormat="1" applyFont="1" applyBorder="1" applyAlignment="1">
      <alignment horizontal="center" vertical="center"/>
    </xf>
    <xf numFmtId="176" fontId="18" fillId="0" borderId="45" xfId="0" applyNumberFormat="1" applyFont="1" applyBorder="1" applyAlignment="1">
      <alignment horizontal="center" vertical="center"/>
    </xf>
    <xf numFmtId="176" fontId="18" fillId="0" borderId="5" xfId="0" applyNumberFormat="1" applyFont="1" applyBorder="1" applyAlignment="1">
      <alignment vertical="center"/>
    </xf>
    <xf numFmtId="176" fontId="18" fillId="0" borderId="74" xfId="0" applyNumberFormat="1" applyFont="1" applyBorder="1" applyAlignment="1">
      <alignment vertical="center"/>
    </xf>
    <xf numFmtId="0" fontId="20" fillId="2" borderId="103" xfId="0" applyFont="1" applyFill="1" applyBorder="1" applyAlignment="1">
      <alignment horizontal="center" vertical="center"/>
    </xf>
    <xf numFmtId="0" fontId="20" fillId="2" borderId="39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176" fontId="4" fillId="0" borderId="63" xfId="0" applyNumberFormat="1" applyFont="1" applyBorder="1" applyAlignment="1">
      <alignment vertical="center"/>
    </xf>
    <xf numFmtId="176" fontId="4" fillId="0" borderId="72" xfId="0" applyNumberFormat="1" applyFont="1" applyBorder="1" applyAlignment="1">
      <alignment vertical="center"/>
    </xf>
    <xf numFmtId="0" fontId="17" fillId="0" borderId="4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8" fillId="2" borderId="55" xfId="0" applyFont="1" applyFill="1" applyBorder="1" applyAlignment="1">
      <alignment horizontal="center" vertical="center"/>
    </xf>
    <xf numFmtId="0" fontId="18" fillId="2" borderId="54" xfId="0" applyFont="1" applyFill="1" applyBorder="1" applyAlignment="1">
      <alignment horizontal="center" vertical="center"/>
    </xf>
    <xf numFmtId="0" fontId="18" fillId="2" borderId="102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177" fontId="18" fillId="2" borderId="1" xfId="0" applyNumberFormat="1" applyFont="1" applyFill="1" applyBorder="1" applyAlignment="1">
      <alignment horizontal="center" vertical="center"/>
    </xf>
    <xf numFmtId="177" fontId="18" fillId="3" borderId="1" xfId="0" applyNumberFormat="1" applyFont="1" applyFill="1" applyBorder="1" applyAlignment="1">
      <alignment horizontal="center" vertical="center"/>
    </xf>
    <xf numFmtId="177" fontId="18" fillId="3" borderId="30" xfId="0" applyNumberFormat="1" applyFont="1" applyFill="1" applyBorder="1" applyAlignment="1">
      <alignment horizontal="center" vertical="center"/>
    </xf>
    <xf numFmtId="0" fontId="41" fillId="0" borderId="98" xfId="0" applyFont="1" applyBorder="1" applyAlignment="1">
      <alignment horizontal="left" vertical="center"/>
    </xf>
    <xf numFmtId="176" fontId="18" fillId="0" borderId="97" xfId="0" applyNumberFormat="1" applyFont="1" applyBorder="1" applyAlignment="1">
      <alignment horizontal="center" vertical="center"/>
    </xf>
    <xf numFmtId="176" fontId="18" fillId="0" borderId="71" xfId="0" applyNumberFormat="1" applyFont="1" applyBorder="1" applyAlignment="1">
      <alignment horizontal="center" vertical="center"/>
    </xf>
    <xf numFmtId="176" fontId="4" fillId="0" borderId="63" xfId="0" applyNumberFormat="1" applyFont="1" applyBorder="1" applyAlignment="1">
      <alignment horizontal="center" vertical="center"/>
    </xf>
    <xf numFmtId="176" fontId="4" fillId="0" borderId="72" xfId="0" applyNumberFormat="1" applyFont="1" applyBorder="1" applyAlignment="1">
      <alignment horizontal="center" vertical="center"/>
    </xf>
    <xf numFmtId="0" fontId="17" fillId="0" borderId="97" xfId="0" applyFont="1" applyBorder="1" applyAlignment="1">
      <alignment horizontal="left" vertical="center"/>
    </xf>
    <xf numFmtId="0" fontId="17" fillId="0" borderId="70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176" fontId="18" fillId="0" borderId="70" xfId="0" applyNumberFormat="1" applyFont="1" applyBorder="1" applyAlignment="1">
      <alignment vertical="center"/>
    </xf>
    <xf numFmtId="0" fontId="18" fillId="0" borderId="63" xfId="0" applyFont="1" applyBorder="1" applyAlignment="1">
      <alignment horizontal="center" vertical="center"/>
    </xf>
    <xf numFmtId="0" fontId="41" fillId="0" borderId="38" xfId="0" applyFont="1" applyBorder="1" applyAlignment="1">
      <alignment horizontal="left" vertical="center"/>
    </xf>
    <xf numFmtId="0" fontId="41" fillId="0" borderId="27" xfId="0" applyFont="1" applyBorder="1" applyAlignment="1">
      <alignment horizontal="left" vertical="center"/>
    </xf>
    <xf numFmtId="0" fontId="41" fillId="0" borderId="39" xfId="0" applyFont="1" applyBorder="1" applyAlignment="1">
      <alignment horizontal="left" vertical="center"/>
    </xf>
    <xf numFmtId="0" fontId="41" fillId="0" borderId="105" xfId="0" applyFont="1" applyBorder="1" applyAlignment="1">
      <alignment horizontal="left" vertical="center"/>
    </xf>
    <xf numFmtId="0" fontId="41" fillId="0" borderId="104" xfId="0" applyFont="1" applyBorder="1" applyAlignment="1">
      <alignment horizontal="left" vertical="center"/>
    </xf>
    <xf numFmtId="0" fontId="41" fillId="0" borderId="100" xfId="0" applyFont="1" applyBorder="1" applyAlignment="1">
      <alignment horizontal="left" vertical="center"/>
    </xf>
    <xf numFmtId="0" fontId="40" fillId="0" borderId="98" xfId="0" applyFont="1" applyBorder="1" applyAlignment="1">
      <alignment horizontal="center" vertical="center" wrapText="1"/>
    </xf>
    <xf numFmtId="0" fontId="40" fillId="0" borderId="75" xfId="0" applyFont="1" applyBorder="1" applyAlignment="1">
      <alignment horizontal="center" vertical="center" wrapText="1"/>
    </xf>
    <xf numFmtId="0" fontId="40" fillId="0" borderId="97" xfId="0" applyFont="1" applyBorder="1" applyAlignment="1">
      <alignment horizontal="center" vertical="center" wrapText="1"/>
    </xf>
    <xf numFmtId="0" fontId="40" fillId="0" borderId="79" xfId="0" applyFont="1" applyBorder="1" applyAlignment="1">
      <alignment horizontal="center" vertical="center" wrapText="1"/>
    </xf>
    <xf numFmtId="0" fontId="40" fillId="0" borderId="98" xfId="0" applyFont="1" applyBorder="1" applyAlignment="1">
      <alignment horizontal="left" vertical="center" wrapText="1"/>
    </xf>
    <xf numFmtId="0" fontId="40" fillId="0" borderId="75" xfId="0" applyFont="1" applyBorder="1" applyAlignment="1">
      <alignment horizontal="left" vertical="center" wrapText="1"/>
    </xf>
    <xf numFmtId="0" fontId="39" fillId="0" borderId="98" xfId="0" applyFont="1" applyBorder="1" applyAlignment="1">
      <alignment horizontal="left" vertical="center" wrapText="1"/>
    </xf>
    <xf numFmtId="0" fontId="39" fillId="0" borderId="66" xfId="0" applyFont="1" applyBorder="1" applyAlignment="1">
      <alignment horizontal="left" vertical="center"/>
    </xf>
    <xf numFmtId="0" fontId="39" fillId="0" borderId="75" xfId="0" applyFont="1" applyBorder="1" applyAlignment="1">
      <alignment horizontal="left" vertical="center"/>
    </xf>
    <xf numFmtId="176" fontId="18" fillId="0" borderId="98" xfId="0" applyNumberFormat="1" applyFont="1" applyBorder="1" applyAlignment="1">
      <alignment vertical="center"/>
    </xf>
    <xf numFmtId="176" fontId="18" fillId="0" borderId="5" xfId="0" applyNumberFormat="1" applyFont="1" applyBorder="1" applyAlignment="1">
      <alignment horizontal="center" vertical="center"/>
    </xf>
    <xf numFmtId="176" fontId="18" fillId="0" borderId="74" xfId="0" applyNumberFormat="1" applyFont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18" fillId="0" borderId="98" xfId="0" applyFont="1" applyBorder="1" applyAlignment="1">
      <alignment horizontal="center" vertical="center"/>
    </xf>
    <xf numFmtId="0" fontId="19" fillId="0" borderId="98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0" fontId="18" fillId="0" borderId="97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/>
    </xf>
    <xf numFmtId="0" fontId="25" fillId="0" borderId="23" xfId="0" applyFont="1" applyBorder="1" applyAlignment="1">
      <alignment horizontal="left" vertical="center" wrapText="1"/>
    </xf>
    <xf numFmtId="0" fontId="25" fillId="0" borderId="2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40" fillId="0" borderId="97" xfId="0" applyFont="1" applyBorder="1" applyAlignment="1">
      <alignment horizontal="center" vertical="center"/>
    </xf>
    <xf numFmtId="0" fontId="40" fillId="0" borderId="79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2" fillId="0" borderId="101" xfId="2" applyFont="1" applyBorder="1" applyAlignment="1">
      <alignment horizontal="center" vertical="center" wrapText="1"/>
    </xf>
    <xf numFmtId="0" fontId="12" fillId="0" borderId="69" xfId="2" applyFont="1" applyBorder="1" applyAlignment="1">
      <alignment horizontal="center" vertical="center" wrapText="1"/>
    </xf>
    <xf numFmtId="0" fontId="8" fillId="0" borderId="83" xfId="2" applyFont="1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99" xfId="0" applyBorder="1" applyAlignment="1">
      <alignment horizontal="left" vertical="center" wrapText="1"/>
    </xf>
    <xf numFmtId="177" fontId="30" fillId="4" borderId="1" xfId="1" applyNumberFormat="1" applyFont="1" applyFill="1" applyBorder="1" applyAlignment="1">
      <alignment horizontal="center" vertical="distributed"/>
    </xf>
    <xf numFmtId="0" fontId="11" fillId="4" borderId="1" xfId="2" applyFont="1" applyFill="1" applyBorder="1" applyAlignment="1">
      <alignment horizontal="center" vertical="distributed"/>
    </xf>
    <xf numFmtId="0" fontId="11" fillId="4" borderId="30" xfId="2" applyFont="1" applyFill="1" applyBorder="1" applyAlignment="1">
      <alignment horizontal="center" vertical="distributed"/>
    </xf>
    <xf numFmtId="0" fontId="15" fillId="0" borderId="0" xfId="1" applyFont="1" applyBorder="1" applyAlignment="1">
      <alignment horizontal="center" vertical="center"/>
    </xf>
    <xf numFmtId="0" fontId="18" fillId="0" borderId="70" xfId="0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37" fillId="0" borderId="75" xfId="0" applyFont="1" applyBorder="1" applyAlignment="1">
      <alignment horizontal="center" vertical="center"/>
    </xf>
    <xf numFmtId="0" fontId="15" fillId="0" borderId="19" xfId="1" applyFont="1" applyBorder="1" applyAlignment="1">
      <alignment vertical="center"/>
    </xf>
    <xf numFmtId="0" fontId="15" fillId="0" borderId="11" xfId="1" applyFont="1" applyBorder="1" applyAlignment="1">
      <alignment vertical="center"/>
    </xf>
    <xf numFmtId="0" fontId="15" fillId="0" borderId="32" xfId="1" applyFont="1" applyBorder="1" applyAlignment="1">
      <alignment vertical="center"/>
    </xf>
    <xf numFmtId="0" fontId="15" fillId="0" borderId="31" xfId="1" applyFont="1" applyBorder="1" applyAlignment="1">
      <alignment vertical="center"/>
    </xf>
    <xf numFmtId="0" fontId="28" fillId="0" borderId="37" xfId="1" applyFont="1" applyBorder="1" applyAlignment="1">
      <alignment vertical="center"/>
    </xf>
    <xf numFmtId="0" fontId="6" fillId="0" borderId="31" xfId="1" applyFont="1" applyBorder="1" applyAlignment="1">
      <alignment horizontal="center" vertical="center"/>
    </xf>
    <xf numFmtId="0" fontId="6" fillId="0" borderId="107" xfId="1" applyFont="1" applyBorder="1" applyAlignment="1">
      <alignment horizontal="center" vertical="center"/>
    </xf>
    <xf numFmtId="0" fontId="15" fillId="0" borderId="17" xfId="1" applyFont="1" applyBorder="1" applyAlignment="1">
      <alignment vertical="center"/>
    </xf>
    <xf numFmtId="0" fontId="15" fillId="0" borderId="0" xfId="1" applyFont="1" applyBorder="1" applyAlignment="1">
      <alignment vertical="center"/>
    </xf>
    <xf numFmtId="0" fontId="15" fillId="0" borderId="7" xfId="1" applyFont="1" applyBorder="1" applyAlignment="1">
      <alignment vertical="center"/>
    </xf>
    <xf numFmtId="0" fontId="15" fillId="0" borderId="8" xfId="1" applyFont="1" applyBorder="1" applyAlignment="1">
      <alignment vertical="center"/>
    </xf>
    <xf numFmtId="0" fontId="6" fillId="0" borderId="8" xfId="1" applyFont="1" applyBorder="1" applyAlignment="1">
      <alignment horizontal="center" vertical="center"/>
    </xf>
    <xf numFmtId="0" fontId="15" fillId="0" borderId="28" xfId="1" applyFont="1" applyBorder="1" applyAlignment="1">
      <alignment vertical="center"/>
    </xf>
    <xf numFmtId="0" fontId="15" fillId="0" borderId="38" xfId="1" applyFont="1" applyBorder="1" applyAlignment="1">
      <alignment vertical="center"/>
    </xf>
    <xf numFmtId="0" fontId="15" fillId="0" borderId="39" xfId="1" applyFont="1" applyBorder="1" applyAlignment="1">
      <alignment vertical="center"/>
    </xf>
    <xf numFmtId="0" fontId="6" fillId="0" borderId="39" xfId="1" applyFont="1" applyBorder="1" applyAlignment="1">
      <alignment horizontal="center" vertical="center"/>
    </xf>
    <xf numFmtId="0" fontId="11" fillId="0" borderId="30" xfId="2" applyFont="1" applyBorder="1" applyAlignment="1">
      <alignment horizontal="center" vertical="distributed"/>
    </xf>
    <xf numFmtId="0" fontId="31" fillId="0" borderId="54" xfId="1" applyFont="1" applyBorder="1" applyAlignment="1">
      <alignment horizontal="center" vertical="distributed"/>
    </xf>
    <xf numFmtId="0" fontId="11" fillId="0" borderId="15" xfId="2" applyFont="1" applyBorder="1" applyAlignment="1">
      <alignment vertical="top" wrapText="1"/>
    </xf>
    <xf numFmtId="0" fontId="12" fillId="0" borderId="108" xfId="2" applyFont="1" applyBorder="1" applyAlignment="1">
      <alignment horizontal="center" vertical="center" wrapText="1"/>
    </xf>
    <xf numFmtId="0" fontId="12" fillId="0" borderId="109" xfId="2" applyFont="1" applyBorder="1" applyAlignment="1">
      <alignment horizontal="center" vertical="center" wrapText="1"/>
    </xf>
    <xf numFmtId="0" fontId="12" fillId="0" borderId="110" xfId="2" applyFont="1" applyBorder="1" applyAlignment="1">
      <alignment horizontal="center" vertical="center" wrapText="1"/>
    </xf>
    <xf numFmtId="0" fontId="12" fillId="0" borderId="63" xfId="2" applyFont="1" applyBorder="1" applyAlignment="1">
      <alignment horizontal="center" vertical="center" wrapText="1"/>
    </xf>
    <xf numFmtId="0" fontId="12" fillId="0" borderId="63" xfId="2" applyFont="1" applyBorder="1" applyAlignment="1">
      <alignment horizontal="left" vertical="center"/>
    </xf>
    <xf numFmtId="0" fontId="12" fillId="0" borderId="62" xfId="2" applyFont="1" applyBorder="1" applyAlignment="1">
      <alignment horizontal="left" vertical="center"/>
    </xf>
    <xf numFmtId="0" fontId="8" fillId="0" borderId="58" xfId="2" applyFont="1" applyBorder="1" applyAlignment="1">
      <alignment horizontal="center" vertical="center" wrapText="1"/>
    </xf>
    <xf numFmtId="0" fontId="8" fillId="0" borderId="111" xfId="2" applyFont="1" applyBorder="1" applyAlignment="1">
      <alignment horizontal="center" vertical="center" wrapText="1"/>
    </xf>
    <xf numFmtId="0" fontId="32" fillId="0" borderId="47" xfId="2" applyFont="1" applyBorder="1" applyAlignment="1">
      <alignment horizontal="center" vertical="center" wrapText="1"/>
    </xf>
    <xf numFmtId="0" fontId="32" fillId="0" borderId="112" xfId="2" applyFont="1" applyBorder="1" applyAlignment="1">
      <alignment horizontal="center" vertical="center" wrapText="1"/>
    </xf>
    <xf numFmtId="0" fontId="8" fillId="0" borderId="113" xfId="2" applyFont="1" applyBorder="1" applyAlignment="1">
      <alignment horizontal="center" vertical="center" wrapText="1"/>
    </xf>
    <xf numFmtId="0" fontId="8" fillId="0" borderId="47" xfId="2" applyFont="1" applyBorder="1" applyAlignment="1">
      <alignment horizontal="center" vertical="center" wrapText="1"/>
    </xf>
    <xf numFmtId="0" fontId="8" fillId="0" borderId="114" xfId="2" applyFont="1" applyBorder="1" applyAlignment="1">
      <alignment horizontal="center" vertical="center" wrapText="1"/>
    </xf>
    <xf numFmtId="0" fontId="8" fillId="0" borderId="112" xfId="2" applyFont="1" applyBorder="1" applyAlignment="1">
      <alignment horizontal="center" vertical="center" wrapText="1"/>
    </xf>
    <xf numFmtId="0" fontId="12" fillId="0" borderId="113" xfId="2" applyFont="1" applyBorder="1" applyAlignment="1">
      <alignment horizontal="center" vertical="center" wrapText="1"/>
    </xf>
    <xf numFmtId="0" fontId="12" fillId="0" borderId="47" xfId="2" applyFont="1" applyBorder="1" applyAlignment="1">
      <alignment horizontal="center" vertical="center" wrapText="1"/>
    </xf>
    <xf numFmtId="0" fontId="12" fillId="0" borderId="114" xfId="2" applyFont="1" applyBorder="1" applyAlignment="1">
      <alignment horizontal="center" vertical="center" wrapText="1"/>
    </xf>
    <xf numFmtId="0" fontId="8" fillId="0" borderId="115" xfId="2" applyFont="1" applyBorder="1" applyAlignment="1">
      <alignment horizontal="center" vertical="center" wrapText="1"/>
    </xf>
    <xf numFmtId="0" fontId="33" fillId="0" borderId="116" xfId="0" applyFont="1" applyBorder="1" applyAlignment="1">
      <alignment horizontal="center" vertical="center" wrapText="1"/>
    </xf>
    <xf numFmtId="0" fontId="12" fillId="0" borderId="56" xfId="2" applyFont="1" applyBorder="1" applyAlignment="1">
      <alignment horizontal="center" vertical="center" wrapText="1"/>
    </xf>
    <xf numFmtId="0" fontId="33" fillId="0" borderId="42" xfId="0" applyFont="1" applyBorder="1" applyAlignment="1">
      <alignment horizontal="center" vertical="center" wrapText="1"/>
    </xf>
    <xf numFmtId="0" fontId="12" fillId="0" borderId="117" xfId="2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5" fillId="0" borderId="0" xfId="2" applyBorder="1">
      <alignment vertical="center"/>
    </xf>
    <xf numFmtId="0" fontId="29" fillId="0" borderId="40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</cellXfs>
  <cellStyles count="3">
    <cellStyle name="一般" xfId="0" builtinId="0"/>
    <cellStyle name="一般 2" xfId="2" xr:uid="{1C433D32-1E95-4432-A93B-F5FF5F47BFF4}"/>
    <cellStyle name="一般_請款附件-付款支出證明單" xfId="1" xr:uid="{9A79F5EB-6404-4028-A3D3-D8DC8DA9C2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0AA9-4027-4466-8003-C997C2D63C34}">
  <sheetPr codeName="工作表1"/>
  <dimension ref="A1:P20"/>
  <sheetViews>
    <sheetView zoomScaleNormal="100" workbookViewId="0">
      <selection activeCell="E9" sqref="E9"/>
    </sheetView>
  </sheetViews>
  <sheetFormatPr defaultRowHeight="16.5"/>
  <cols>
    <col min="1" max="5" width="13.625" style="2" customWidth="1"/>
    <col min="6" max="11" width="4.5" style="2" customWidth="1"/>
    <col min="12" max="256" width="9" style="2"/>
    <col min="257" max="257" width="15.5" style="2" customWidth="1"/>
    <col min="258" max="258" width="43.5" style="2" customWidth="1"/>
    <col min="259" max="267" width="3.75" style="2" customWidth="1"/>
    <col min="268" max="512" width="9" style="2"/>
    <col min="513" max="513" width="15.5" style="2" customWidth="1"/>
    <col min="514" max="514" width="43.5" style="2" customWidth="1"/>
    <col min="515" max="523" width="3.75" style="2" customWidth="1"/>
    <col min="524" max="768" width="9" style="2"/>
    <col min="769" max="769" width="15.5" style="2" customWidth="1"/>
    <col min="770" max="770" width="43.5" style="2" customWidth="1"/>
    <col min="771" max="779" width="3.75" style="2" customWidth="1"/>
    <col min="780" max="1024" width="9" style="2"/>
    <col min="1025" max="1025" width="15.5" style="2" customWidth="1"/>
    <col min="1026" max="1026" width="43.5" style="2" customWidth="1"/>
    <col min="1027" max="1035" width="3.75" style="2" customWidth="1"/>
    <col min="1036" max="1280" width="9" style="2"/>
    <col min="1281" max="1281" width="15.5" style="2" customWidth="1"/>
    <col min="1282" max="1282" width="43.5" style="2" customWidth="1"/>
    <col min="1283" max="1291" width="3.75" style="2" customWidth="1"/>
    <col min="1292" max="1536" width="9" style="2"/>
    <col min="1537" max="1537" width="15.5" style="2" customWidth="1"/>
    <col min="1538" max="1538" width="43.5" style="2" customWidth="1"/>
    <col min="1539" max="1547" width="3.75" style="2" customWidth="1"/>
    <col min="1548" max="1792" width="9" style="2"/>
    <col min="1793" max="1793" width="15.5" style="2" customWidth="1"/>
    <col min="1794" max="1794" width="43.5" style="2" customWidth="1"/>
    <col min="1795" max="1803" width="3.75" style="2" customWidth="1"/>
    <col min="1804" max="2048" width="9" style="2"/>
    <col min="2049" max="2049" width="15.5" style="2" customWidth="1"/>
    <col min="2050" max="2050" width="43.5" style="2" customWidth="1"/>
    <col min="2051" max="2059" width="3.75" style="2" customWidth="1"/>
    <col min="2060" max="2304" width="9" style="2"/>
    <col min="2305" max="2305" width="15.5" style="2" customWidth="1"/>
    <col min="2306" max="2306" width="43.5" style="2" customWidth="1"/>
    <col min="2307" max="2315" width="3.75" style="2" customWidth="1"/>
    <col min="2316" max="2560" width="9" style="2"/>
    <col min="2561" max="2561" width="15.5" style="2" customWidth="1"/>
    <col min="2562" max="2562" width="43.5" style="2" customWidth="1"/>
    <col min="2563" max="2571" width="3.75" style="2" customWidth="1"/>
    <col min="2572" max="2816" width="9" style="2"/>
    <col min="2817" max="2817" width="15.5" style="2" customWidth="1"/>
    <col min="2818" max="2818" width="43.5" style="2" customWidth="1"/>
    <col min="2819" max="2827" width="3.75" style="2" customWidth="1"/>
    <col min="2828" max="3072" width="9" style="2"/>
    <col min="3073" max="3073" width="15.5" style="2" customWidth="1"/>
    <col min="3074" max="3074" width="43.5" style="2" customWidth="1"/>
    <col min="3075" max="3083" width="3.75" style="2" customWidth="1"/>
    <col min="3084" max="3328" width="9" style="2"/>
    <col min="3329" max="3329" width="15.5" style="2" customWidth="1"/>
    <col min="3330" max="3330" width="43.5" style="2" customWidth="1"/>
    <col min="3331" max="3339" width="3.75" style="2" customWidth="1"/>
    <col min="3340" max="3584" width="9" style="2"/>
    <col min="3585" max="3585" width="15.5" style="2" customWidth="1"/>
    <col min="3586" max="3586" width="43.5" style="2" customWidth="1"/>
    <col min="3587" max="3595" width="3.75" style="2" customWidth="1"/>
    <col min="3596" max="3840" width="9" style="2"/>
    <col min="3841" max="3841" width="15.5" style="2" customWidth="1"/>
    <col min="3842" max="3842" width="43.5" style="2" customWidth="1"/>
    <col min="3843" max="3851" width="3.75" style="2" customWidth="1"/>
    <col min="3852" max="4096" width="9" style="2"/>
    <col min="4097" max="4097" width="15.5" style="2" customWidth="1"/>
    <col min="4098" max="4098" width="43.5" style="2" customWidth="1"/>
    <col min="4099" max="4107" width="3.75" style="2" customWidth="1"/>
    <col min="4108" max="4352" width="9" style="2"/>
    <col min="4353" max="4353" width="15.5" style="2" customWidth="1"/>
    <col min="4354" max="4354" width="43.5" style="2" customWidth="1"/>
    <col min="4355" max="4363" width="3.75" style="2" customWidth="1"/>
    <col min="4364" max="4608" width="9" style="2"/>
    <col min="4609" max="4609" width="15.5" style="2" customWidth="1"/>
    <col min="4610" max="4610" width="43.5" style="2" customWidth="1"/>
    <col min="4611" max="4619" width="3.75" style="2" customWidth="1"/>
    <col min="4620" max="4864" width="9" style="2"/>
    <col min="4865" max="4865" width="15.5" style="2" customWidth="1"/>
    <col min="4866" max="4866" width="43.5" style="2" customWidth="1"/>
    <col min="4867" max="4875" width="3.75" style="2" customWidth="1"/>
    <col min="4876" max="5120" width="9" style="2"/>
    <col min="5121" max="5121" width="15.5" style="2" customWidth="1"/>
    <col min="5122" max="5122" width="43.5" style="2" customWidth="1"/>
    <col min="5123" max="5131" width="3.75" style="2" customWidth="1"/>
    <col min="5132" max="5376" width="9" style="2"/>
    <col min="5377" max="5377" width="15.5" style="2" customWidth="1"/>
    <col min="5378" max="5378" width="43.5" style="2" customWidth="1"/>
    <col min="5379" max="5387" width="3.75" style="2" customWidth="1"/>
    <col min="5388" max="5632" width="9" style="2"/>
    <col min="5633" max="5633" width="15.5" style="2" customWidth="1"/>
    <col min="5634" max="5634" width="43.5" style="2" customWidth="1"/>
    <col min="5635" max="5643" width="3.75" style="2" customWidth="1"/>
    <col min="5644" max="5888" width="9" style="2"/>
    <col min="5889" max="5889" width="15.5" style="2" customWidth="1"/>
    <col min="5890" max="5890" width="43.5" style="2" customWidth="1"/>
    <col min="5891" max="5899" width="3.75" style="2" customWidth="1"/>
    <col min="5900" max="6144" width="9" style="2"/>
    <col min="6145" max="6145" width="15.5" style="2" customWidth="1"/>
    <col min="6146" max="6146" width="43.5" style="2" customWidth="1"/>
    <col min="6147" max="6155" width="3.75" style="2" customWidth="1"/>
    <col min="6156" max="6400" width="9" style="2"/>
    <col min="6401" max="6401" width="15.5" style="2" customWidth="1"/>
    <col min="6402" max="6402" width="43.5" style="2" customWidth="1"/>
    <col min="6403" max="6411" width="3.75" style="2" customWidth="1"/>
    <col min="6412" max="6656" width="9" style="2"/>
    <col min="6657" max="6657" width="15.5" style="2" customWidth="1"/>
    <col min="6658" max="6658" width="43.5" style="2" customWidth="1"/>
    <col min="6659" max="6667" width="3.75" style="2" customWidth="1"/>
    <col min="6668" max="6912" width="9" style="2"/>
    <col min="6913" max="6913" width="15.5" style="2" customWidth="1"/>
    <col min="6914" max="6914" width="43.5" style="2" customWidth="1"/>
    <col min="6915" max="6923" width="3.75" style="2" customWidth="1"/>
    <col min="6924" max="7168" width="9" style="2"/>
    <col min="7169" max="7169" width="15.5" style="2" customWidth="1"/>
    <col min="7170" max="7170" width="43.5" style="2" customWidth="1"/>
    <col min="7171" max="7179" width="3.75" style="2" customWidth="1"/>
    <col min="7180" max="7424" width="9" style="2"/>
    <col min="7425" max="7425" width="15.5" style="2" customWidth="1"/>
    <col min="7426" max="7426" width="43.5" style="2" customWidth="1"/>
    <col min="7427" max="7435" width="3.75" style="2" customWidth="1"/>
    <col min="7436" max="7680" width="9" style="2"/>
    <col min="7681" max="7681" width="15.5" style="2" customWidth="1"/>
    <col min="7682" max="7682" width="43.5" style="2" customWidth="1"/>
    <col min="7683" max="7691" width="3.75" style="2" customWidth="1"/>
    <col min="7692" max="7936" width="9" style="2"/>
    <col min="7937" max="7937" width="15.5" style="2" customWidth="1"/>
    <col min="7938" max="7938" width="43.5" style="2" customWidth="1"/>
    <col min="7939" max="7947" width="3.75" style="2" customWidth="1"/>
    <col min="7948" max="8192" width="9" style="2"/>
    <col min="8193" max="8193" width="15.5" style="2" customWidth="1"/>
    <col min="8194" max="8194" width="43.5" style="2" customWidth="1"/>
    <col min="8195" max="8203" width="3.75" style="2" customWidth="1"/>
    <col min="8204" max="8448" width="9" style="2"/>
    <col min="8449" max="8449" width="15.5" style="2" customWidth="1"/>
    <col min="8450" max="8450" width="43.5" style="2" customWidth="1"/>
    <col min="8451" max="8459" width="3.75" style="2" customWidth="1"/>
    <col min="8460" max="8704" width="9" style="2"/>
    <col min="8705" max="8705" width="15.5" style="2" customWidth="1"/>
    <col min="8706" max="8706" width="43.5" style="2" customWidth="1"/>
    <col min="8707" max="8715" width="3.75" style="2" customWidth="1"/>
    <col min="8716" max="8960" width="9" style="2"/>
    <col min="8961" max="8961" width="15.5" style="2" customWidth="1"/>
    <col min="8962" max="8962" width="43.5" style="2" customWidth="1"/>
    <col min="8963" max="8971" width="3.75" style="2" customWidth="1"/>
    <col min="8972" max="9216" width="9" style="2"/>
    <col min="9217" max="9217" width="15.5" style="2" customWidth="1"/>
    <col min="9218" max="9218" width="43.5" style="2" customWidth="1"/>
    <col min="9219" max="9227" width="3.75" style="2" customWidth="1"/>
    <col min="9228" max="9472" width="9" style="2"/>
    <col min="9473" max="9473" width="15.5" style="2" customWidth="1"/>
    <col min="9474" max="9474" width="43.5" style="2" customWidth="1"/>
    <col min="9475" max="9483" width="3.75" style="2" customWidth="1"/>
    <col min="9484" max="9728" width="9" style="2"/>
    <col min="9729" max="9729" width="15.5" style="2" customWidth="1"/>
    <col min="9730" max="9730" width="43.5" style="2" customWidth="1"/>
    <col min="9731" max="9739" width="3.75" style="2" customWidth="1"/>
    <col min="9740" max="9984" width="9" style="2"/>
    <col min="9985" max="9985" width="15.5" style="2" customWidth="1"/>
    <col min="9986" max="9986" width="43.5" style="2" customWidth="1"/>
    <col min="9987" max="9995" width="3.75" style="2" customWidth="1"/>
    <col min="9996" max="10240" width="9" style="2"/>
    <col min="10241" max="10241" width="15.5" style="2" customWidth="1"/>
    <col min="10242" max="10242" width="43.5" style="2" customWidth="1"/>
    <col min="10243" max="10251" width="3.75" style="2" customWidth="1"/>
    <col min="10252" max="10496" width="9" style="2"/>
    <col min="10497" max="10497" width="15.5" style="2" customWidth="1"/>
    <col min="10498" max="10498" width="43.5" style="2" customWidth="1"/>
    <col min="10499" max="10507" width="3.75" style="2" customWidth="1"/>
    <col min="10508" max="10752" width="9" style="2"/>
    <col min="10753" max="10753" width="15.5" style="2" customWidth="1"/>
    <col min="10754" max="10754" width="43.5" style="2" customWidth="1"/>
    <col min="10755" max="10763" width="3.75" style="2" customWidth="1"/>
    <col min="10764" max="11008" width="9" style="2"/>
    <col min="11009" max="11009" width="15.5" style="2" customWidth="1"/>
    <col min="11010" max="11010" width="43.5" style="2" customWidth="1"/>
    <col min="11011" max="11019" width="3.75" style="2" customWidth="1"/>
    <col min="11020" max="11264" width="9" style="2"/>
    <col min="11265" max="11265" width="15.5" style="2" customWidth="1"/>
    <col min="11266" max="11266" width="43.5" style="2" customWidth="1"/>
    <col min="11267" max="11275" width="3.75" style="2" customWidth="1"/>
    <col min="11276" max="11520" width="9" style="2"/>
    <col min="11521" max="11521" width="15.5" style="2" customWidth="1"/>
    <col min="11522" max="11522" width="43.5" style="2" customWidth="1"/>
    <col min="11523" max="11531" width="3.75" style="2" customWidth="1"/>
    <col min="11532" max="11776" width="9" style="2"/>
    <col min="11777" max="11777" width="15.5" style="2" customWidth="1"/>
    <col min="11778" max="11778" width="43.5" style="2" customWidth="1"/>
    <col min="11779" max="11787" width="3.75" style="2" customWidth="1"/>
    <col min="11788" max="12032" width="9" style="2"/>
    <col min="12033" max="12033" width="15.5" style="2" customWidth="1"/>
    <col min="12034" max="12034" width="43.5" style="2" customWidth="1"/>
    <col min="12035" max="12043" width="3.75" style="2" customWidth="1"/>
    <col min="12044" max="12288" width="9" style="2"/>
    <col min="12289" max="12289" width="15.5" style="2" customWidth="1"/>
    <col min="12290" max="12290" width="43.5" style="2" customWidth="1"/>
    <col min="12291" max="12299" width="3.75" style="2" customWidth="1"/>
    <col min="12300" max="12544" width="9" style="2"/>
    <col min="12545" max="12545" width="15.5" style="2" customWidth="1"/>
    <col min="12546" max="12546" width="43.5" style="2" customWidth="1"/>
    <col min="12547" max="12555" width="3.75" style="2" customWidth="1"/>
    <col min="12556" max="12800" width="9" style="2"/>
    <col min="12801" max="12801" width="15.5" style="2" customWidth="1"/>
    <col min="12802" max="12802" width="43.5" style="2" customWidth="1"/>
    <col min="12803" max="12811" width="3.75" style="2" customWidth="1"/>
    <col min="12812" max="13056" width="9" style="2"/>
    <col min="13057" max="13057" width="15.5" style="2" customWidth="1"/>
    <col min="13058" max="13058" width="43.5" style="2" customWidth="1"/>
    <col min="13059" max="13067" width="3.75" style="2" customWidth="1"/>
    <col min="13068" max="13312" width="9" style="2"/>
    <col min="13313" max="13313" width="15.5" style="2" customWidth="1"/>
    <col min="13314" max="13314" width="43.5" style="2" customWidth="1"/>
    <col min="13315" max="13323" width="3.75" style="2" customWidth="1"/>
    <col min="13324" max="13568" width="9" style="2"/>
    <col min="13569" max="13569" width="15.5" style="2" customWidth="1"/>
    <col min="13570" max="13570" width="43.5" style="2" customWidth="1"/>
    <col min="13571" max="13579" width="3.75" style="2" customWidth="1"/>
    <col min="13580" max="13824" width="9" style="2"/>
    <col min="13825" max="13825" width="15.5" style="2" customWidth="1"/>
    <col min="13826" max="13826" width="43.5" style="2" customWidth="1"/>
    <col min="13827" max="13835" width="3.75" style="2" customWidth="1"/>
    <col min="13836" max="14080" width="9" style="2"/>
    <col min="14081" max="14081" width="15.5" style="2" customWidth="1"/>
    <col min="14082" max="14082" width="43.5" style="2" customWidth="1"/>
    <col min="14083" max="14091" width="3.75" style="2" customWidth="1"/>
    <col min="14092" max="14336" width="9" style="2"/>
    <col min="14337" max="14337" width="15.5" style="2" customWidth="1"/>
    <col min="14338" max="14338" width="43.5" style="2" customWidth="1"/>
    <col min="14339" max="14347" width="3.75" style="2" customWidth="1"/>
    <col min="14348" max="14592" width="9" style="2"/>
    <col min="14593" max="14593" width="15.5" style="2" customWidth="1"/>
    <col min="14594" max="14594" width="43.5" style="2" customWidth="1"/>
    <col min="14595" max="14603" width="3.75" style="2" customWidth="1"/>
    <col min="14604" max="14848" width="9" style="2"/>
    <col min="14849" max="14849" width="15.5" style="2" customWidth="1"/>
    <col min="14850" max="14850" width="43.5" style="2" customWidth="1"/>
    <col min="14851" max="14859" width="3.75" style="2" customWidth="1"/>
    <col min="14860" max="15104" width="9" style="2"/>
    <col min="15105" max="15105" width="15.5" style="2" customWidth="1"/>
    <col min="15106" max="15106" width="43.5" style="2" customWidth="1"/>
    <col min="15107" max="15115" width="3.75" style="2" customWidth="1"/>
    <col min="15116" max="15360" width="9" style="2"/>
    <col min="15361" max="15361" width="15.5" style="2" customWidth="1"/>
    <col min="15362" max="15362" width="43.5" style="2" customWidth="1"/>
    <col min="15363" max="15371" width="3.75" style="2" customWidth="1"/>
    <col min="15372" max="15616" width="9" style="2"/>
    <col min="15617" max="15617" width="15.5" style="2" customWidth="1"/>
    <col min="15618" max="15618" width="43.5" style="2" customWidth="1"/>
    <col min="15619" max="15627" width="3.75" style="2" customWidth="1"/>
    <col min="15628" max="15872" width="9" style="2"/>
    <col min="15873" max="15873" width="15.5" style="2" customWidth="1"/>
    <col min="15874" max="15874" width="43.5" style="2" customWidth="1"/>
    <col min="15875" max="15883" width="3.75" style="2" customWidth="1"/>
    <col min="15884" max="16128" width="9" style="2"/>
    <col min="16129" max="16129" width="15.5" style="2" customWidth="1"/>
    <col min="16130" max="16130" width="43.5" style="2" customWidth="1"/>
    <col min="16131" max="16139" width="3.75" style="2" customWidth="1"/>
    <col min="16140" max="16382" width="9" style="2"/>
    <col min="16383" max="16384" width="8.875" style="2" customWidth="1"/>
  </cols>
  <sheetData>
    <row r="1" spans="1:12" ht="22.9" customHeight="1">
      <c r="A1" s="224" t="s">
        <v>0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123"/>
    </row>
    <row r="2" spans="1:12" ht="21.6" customHeight="1" thickBot="1">
      <c r="A2" s="226" t="s">
        <v>36</v>
      </c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123"/>
    </row>
    <row r="3" spans="1:12" ht="12" customHeight="1">
      <c r="A3" s="228" t="s">
        <v>37</v>
      </c>
      <c r="B3" s="230"/>
      <c r="C3" s="231"/>
      <c r="D3" s="232"/>
      <c r="E3" s="236" t="s">
        <v>19</v>
      </c>
      <c r="F3" s="238" t="s">
        <v>112</v>
      </c>
      <c r="G3" s="239"/>
      <c r="H3" s="239"/>
      <c r="I3" s="239"/>
      <c r="J3" s="239"/>
      <c r="K3" s="240"/>
      <c r="L3" s="26"/>
    </row>
    <row r="4" spans="1:12" ht="12.75" customHeight="1" thickBot="1">
      <c r="A4" s="229"/>
      <c r="B4" s="233"/>
      <c r="C4" s="234"/>
      <c r="D4" s="235"/>
      <c r="E4" s="237"/>
      <c r="F4" s="241"/>
      <c r="G4" s="242"/>
      <c r="H4" s="242"/>
      <c r="I4" s="242"/>
      <c r="J4" s="242"/>
      <c r="K4" s="243"/>
    </row>
    <row r="5" spans="1:12" ht="15.6" customHeight="1">
      <c r="A5" s="244" t="s">
        <v>25</v>
      </c>
      <c r="B5" s="245"/>
      <c r="C5" s="245"/>
      <c r="D5" s="245"/>
      <c r="E5" s="246"/>
      <c r="F5" s="250" t="s">
        <v>20</v>
      </c>
      <c r="G5" s="251"/>
      <c r="H5" s="251"/>
      <c r="I5" s="251"/>
      <c r="J5" s="251"/>
      <c r="K5" s="252"/>
    </row>
    <row r="6" spans="1:12" ht="16.149999999999999" customHeight="1">
      <c r="A6" s="247"/>
      <c r="B6" s="248"/>
      <c r="C6" s="248"/>
      <c r="D6" s="248"/>
      <c r="E6" s="249"/>
      <c r="F6" s="27" t="s">
        <v>5</v>
      </c>
      <c r="G6" s="27" t="s">
        <v>6</v>
      </c>
      <c r="H6" s="27" t="s">
        <v>3</v>
      </c>
      <c r="I6" s="27" t="s">
        <v>4</v>
      </c>
      <c r="J6" s="27" t="s">
        <v>5</v>
      </c>
      <c r="K6" s="28" t="s">
        <v>7</v>
      </c>
    </row>
    <row r="7" spans="1:12" ht="25.35" customHeight="1">
      <c r="A7" s="140"/>
      <c r="B7" s="141"/>
      <c r="C7" s="141"/>
      <c r="D7" s="141"/>
      <c r="E7" s="141"/>
      <c r="F7" s="34"/>
      <c r="G7" s="30"/>
      <c r="H7" s="30"/>
      <c r="I7" s="30"/>
      <c r="J7" s="30"/>
      <c r="K7" s="31"/>
    </row>
    <row r="8" spans="1:12" ht="25.35" customHeight="1">
      <c r="A8" s="69"/>
      <c r="B8" s="29"/>
      <c r="C8" s="29"/>
      <c r="D8" s="29"/>
      <c r="E8" s="29"/>
      <c r="F8" s="35"/>
      <c r="G8" s="32"/>
      <c r="H8" s="32"/>
      <c r="I8" s="32"/>
      <c r="J8" s="32"/>
      <c r="K8" s="33"/>
    </row>
    <row r="9" spans="1:12" ht="25.35" customHeight="1">
      <c r="A9" s="69"/>
      <c r="B9" s="29"/>
      <c r="C9" s="29"/>
      <c r="D9" s="29"/>
      <c r="E9" s="29"/>
      <c r="F9" s="35"/>
      <c r="G9" s="32"/>
      <c r="H9" s="32"/>
      <c r="I9" s="32"/>
      <c r="J9" s="32"/>
      <c r="K9" s="33"/>
    </row>
    <row r="10" spans="1:12" ht="25.35" customHeight="1">
      <c r="A10" s="69"/>
      <c r="B10" s="29"/>
      <c r="C10" s="29"/>
      <c r="D10" s="29"/>
      <c r="E10" s="29"/>
      <c r="F10" s="35"/>
      <c r="G10" s="32"/>
      <c r="H10" s="32"/>
      <c r="I10" s="32"/>
      <c r="J10" s="32"/>
      <c r="K10" s="33"/>
    </row>
    <row r="11" spans="1:12" ht="25.35" customHeight="1" thickBot="1">
      <c r="A11" s="83"/>
      <c r="B11" s="48"/>
      <c r="C11" s="48"/>
      <c r="D11" s="48"/>
      <c r="E11" s="48"/>
      <c r="F11" s="49"/>
      <c r="G11" s="50"/>
      <c r="H11" s="50"/>
      <c r="I11" s="50"/>
      <c r="J11" s="50"/>
      <c r="K11" s="51"/>
    </row>
    <row r="12" spans="1:12" ht="25.35" customHeight="1">
      <c r="A12" s="88" t="s">
        <v>40</v>
      </c>
      <c r="B12" s="87" t="s">
        <v>113</v>
      </c>
      <c r="C12" s="87"/>
      <c r="D12" s="84"/>
      <c r="E12" s="74" t="s">
        <v>22</v>
      </c>
      <c r="F12" s="75"/>
      <c r="G12" s="76"/>
      <c r="H12" s="76"/>
      <c r="I12" s="76"/>
      <c r="J12" s="76"/>
      <c r="K12" s="77"/>
    </row>
    <row r="13" spans="1:12" ht="25.35" customHeight="1">
      <c r="A13" s="89" t="s">
        <v>42</v>
      </c>
      <c r="B13" s="85"/>
      <c r="C13" s="85"/>
      <c r="D13" s="86"/>
      <c r="E13" s="78" t="s">
        <v>38</v>
      </c>
      <c r="F13" s="79"/>
      <c r="G13" s="80"/>
      <c r="H13" s="80"/>
      <c r="I13" s="80"/>
      <c r="J13" s="80"/>
      <c r="K13" s="81"/>
    </row>
    <row r="14" spans="1:12" ht="25.35" customHeight="1" thickBot="1">
      <c r="A14" s="90" t="s">
        <v>41</v>
      </c>
      <c r="B14" s="82"/>
      <c r="C14" s="82"/>
      <c r="D14" s="126"/>
      <c r="E14" s="70" t="s">
        <v>39</v>
      </c>
      <c r="F14" s="71"/>
      <c r="G14" s="72"/>
      <c r="H14" s="72"/>
      <c r="I14" s="72"/>
      <c r="J14" s="72"/>
      <c r="K14" s="73"/>
    </row>
    <row r="15" spans="1:12" ht="13.9" customHeight="1">
      <c r="A15" s="19"/>
      <c r="B15" s="20"/>
      <c r="C15" s="20"/>
      <c r="D15" s="20"/>
      <c r="E15" s="21"/>
      <c r="F15" s="21"/>
      <c r="G15" s="21"/>
      <c r="H15" s="21"/>
      <c r="I15" s="21"/>
      <c r="J15" s="21"/>
      <c r="K15" s="22"/>
    </row>
    <row r="16" spans="1:12" ht="16.149999999999999" customHeight="1">
      <c r="A16" s="23" t="s">
        <v>114</v>
      </c>
      <c r="B16" s="24" t="s">
        <v>111</v>
      </c>
      <c r="C16" s="24" t="s">
        <v>2</v>
      </c>
      <c r="D16" s="24" t="s">
        <v>13</v>
      </c>
      <c r="E16" s="124" t="s">
        <v>18</v>
      </c>
      <c r="F16" s="253" t="s">
        <v>35</v>
      </c>
      <c r="G16" s="254"/>
      <c r="H16" s="254"/>
      <c r="I16" s="255" t="s">
        <v>8</v>
      </c>
      <c r="J16" s="256"/>
      <c r="K16" s="257"/>
    </row>
    <row r="17" spans="1:16" ht="11.25" customHeight="1">
      <c r="A17" s="15"/>
      <c r="B17" s="16" t="s">
        <v>9</v>
      </c>
      <c r="C17" s="16"/>
      <c r="D17" s="16"/>
      <c r="E17" s="25"/>
      <c r="F17" s="258"/>
      <c r="G17" s="259"/>
      <c r="H17" s="260"/>
      <c r="I17" s="142"/>
      <c r="J17" s="143"/>
      <c r="K17" s="144"/>
    </row>
    <row r="18" spans="1:16" ht="21" customHeight="1">
      <c r="A18" s="17"/>
      <c r="B18" s="18"/>
      <c r="C18" s="18"/>
      <c r="D18" s="18"/>
      <c r="E18" s="3"/>
      <c r="F18" s="261"/>
      <c r="G18" s="262"/>
      <c r="H18" s="263"/>
      <c r="I18" s="145"/>
      <c r="J18" s="146"/>
      <c r="K18" s="147"/>
      <c r="P18" s="4"/>
    </row>
    <row r="19" spans="1:16" ht="21.75" customHeight="1" thickBot="1">
      <c r="A19" s="17"/>
      <c r="B19" s="18"/>
      <c r="C19" s="18"/>
      <c r="D19" s="18"/>
      <c r="E19" s="3"/>
      <c r="F19" s="264"/>
      <c r="G19" s="265"/>
      <c r="H19" s="266"/>
      <c r="I19" s="145"/>
      <c r="J19" s="146"/>
      <c r="K19" s="147"/>
      <c r="P19" s="4"/>
    </row>
    <row r="20" spans="1:16">
      <c r="A20" s="222" t="s">
        <v>21</v>
      </c>
      <c r="B20" s="223"/>
      <c r="C20" s="223"/>
      <c r="D20" s="223"/>
      <c r="E20" s="223"/>
      <c r="F20" s="223"/>
      <c r="G20" s="223"/>
      <c r="H20" s="223"/>
      <c r="I20" s="223"/>
      <c r="J20" s="223"/>
      <c r="K20" s="223"/>
    </row>
  </sheetData>
  <mergeCells count="12">
    <mergeCell ref="A20:K20"/>
    <mergeCell ref="A1:K1"/>
    <mergeCell ref="A2:K2"/>
    <mergeCell ref="A3:A4"/>
    <mergeCell ref="B3:D4"/>
    <mergeCell ref="E3:E4"/>
    <mergeCell ref="F3:K4"/>
    <mergeCell ref="A5:E6"/>
    <mergeCell ref="F5:K5"/>
    <mergeCell ref="F16:H16"/>
    <mergeCell ref="I16:K16"/>
    <mergeCell ref="F17:H19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93A1-9A1C-4A7E-8CA5-CACE7671BA87}">
  <sheetPr codeName="工作表2"/>
  <dimension ref="A1:N19"/>
  <sheetViews>
    <sheetView view="pageBreakPreview" zoomScale="115" zoomScaleNormal="100" zoomScaleSheetLayoutView="115" workbookViewId="0">
      <selection activeCell="R8" sqref="R8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254</v>
      </c>
      <c r="N3" s="131" t="s">
        <v>255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25" t="s">
        <v>27</v>
      </c>
      <c r="L4" s="125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251</v>
      </c>
      <c r="C5" s="268"/>
      <c r="D5" s="268"/>
      <c r="E5" s="268"/>
      <c r="F5" s="269"/>
      <c r="G5" s="133" t="s">
        <v>252</v>
      </c>
      <c r="H5" s="134"/>
      <c r="I5" s="156" t="s">
        <v>250</v>
      </c>
      <c r="J5" s="132"/>
      <c r="K5" s="159">
        <v>1</v>
      </c>
      <c r="L5" s="159" t="s">
        <v>253</v>
      </c>
      <c r="M5" s="270">
        <v>920</v>
      </c>
      <c r="N5" s="271"/>
    </row>
    <row r="6" spans="1:14" ht="28.15" customHeight="1">
      <c r="A6" s="96">
        <v>2</v>
      </c>
      <c r="B6" s="276" t="s">
        <v>259</v>
      </c>
      <c r="C6" s="277"/>
      <c r="D6" s="277"/>
      <c r="E6" s="277"/>
      <c r="F6" s="278"/>
      <c r="G6" s="136" t="s">
        <v>258</v>
      </c>
      <c r="H6" s="137"/>
      <c r="I6" s="136" t="s">
        <v>256</v>
      </c>
      <c r="J6" s="61"/>
      <c r="K6" s="94">
        <v>2</v>
      </c>
      <c r="L6" s="94" t="s">
        <v>257</v>
      </c>
      <c r="M6" s="272">
        <v>4376</v>
      </c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5296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M10:N10"/>
    <mergeCell ref="M9:N9"/>
    <mergeCell ref="A14:B16"/>
    <mergeCell ref="A17:N17"/>
    <mergeCell ref="B11:K11"/>
    <mergeCell ref="M11:N11"/>
    <mergeCell ref="A12:N12"/>
    <mergeCell ref="A13:B13"/>
    <mergeCell ref="C13:D13"/>
    <mergeCell ref="E13:F13"/>
    <mergeCell ref="G13:H13"/>
    <mergeCell ref="I13:J13"/>
    <mergeCell ref="K13:L13"/>
    <mergeCell ref="M13:N13"/>
    <mergeCell ref="A1:N1"/>
    <mergeCell ref="A2:N2"/>
    <mergeCell ref="A3:B3"/>
    <mergeCell ref="C3:K3"/>
    <mergeCell ref="B4:F4"/>
    <mergeCell ref="G4:H4"/>
    <mergeCell ref="I4:J4"/>
    <mergeCell ref="M4:N4"/>
    <mergeCell ref="B5:F5"/>
    <mergeCell ref="M5:N5"/>
    <mergeCell ref="M6:N6"/>
    <mergeCell ref="M7:N7"/>
    <mergeCell ref="M8:N8"/>
    <mergeCell ref="B6:F6"/>
    <mergeCell ref="B7:F7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188A-171B-4626-B3EA-3F800E6C578C}">
  <sheetPr codeName="工作表86"/>
  <dimension ref="A1:P20"/>
  <sheetViews>
    <sheetView zoomScaleNormal="100" workbookViewId="0">
      <selection activeCell="B8" sqref="B8:E8"/>
    </sheetView>
  </sheetViews>
  <sheetFormatPr defaultRowHeight="16.5"/>
  <cols>
    <col min="1" max="5" width="13.625" style="2" customWidth="1"/>
    <col min="6" max="11" width="4.5" style="2" customWidth="1"/>
    <col min="12" max="256" width="9" style="2"/>
    <col min="257" max="257" width="15.5" style="2" customWidth="1"/>
    <col min="258" max="258" width="43.5" style="2" customWidth="1"/>
    <col min="259" max="267" width="3.75" style="2" customWidth="1"/>
    <col min="268" max="512" width="9" style="2"/>
    <col min="513" max="513" width="15.5" style="2" customWidth="1"/>
    <col min="514" max="514" width="43.5" style="2" customWidth="1"/>
    <col min="515" max="523" width="3.75" style="2" customWidth="1"/>
    <col min="524" max="768" width="9" style="2"/>
    <col min="769" max="769" width="15.5" style="2" customWidth="1"/>
    <col min="770" max="770" width="43.5" style="2" customWidth="1"/>
    <col min="771" max="779" width="3.75" style="2" customWidth="1"/>
    <col min="780" max="1024" width="9" style="2"/>
    <col min="1025" max="1025" width="15.5" style="2" customWidth="1"/>
    <col min="1026" max="1026" width="43.5" style="2" customWidth="1"/>
    <col min="1027" max="1035" width="3.75" style="2" customWidth="1"/>
    <col min="1036" max="1280" width="9" style="2"/>
    <col min="1281" max="1281" width="15.5" style="2" customWidth="1"/>
    <col min="1282" max="1282" width="43.5" style="2" customWidth="1"/>
    <col min="1283" max="1291" width="3.75" style="2" customWidth="1"/>
    <col min="1292" max="1536" width="9" style="2"/>
    <col min="1537" max="1537" width="15.5" style="2" customWidth="1"/>
    <col min="1538" max="1538" width="43.5" style="2" customWidth="1"/>
    <col min="1539" max="1547" width="3.75" style="2" customWidth="1"/>
    <col min="1548" max="1792" width="9" style="2"/>
    <col min="1793" max="1793" width="15.5" style="2" customWidth="1"/>
    <col min="1794" max="1794" width="43.5" style="2" customWidth="1"/>
    <col min="1795" max="1803" width="3.75" style="2" customWidth="1"/>
    <col min="1804" max="2048" width="9" style="2"/>
    <col min="2049" max="2049" width="15.5" style="2" customWidth="1"/>
    <col min="2050" max="2050" width="43.5" style="2" customWidth="1"/>
    <col min="2051" max="2059" width="3.75" style="2" customWidth="1"/>
    <col min="2060" max="2304" width="9" style="2"/>
    <col min="2305" max="2305" width="15.5" style="2" customWidth="1"/>
    <col min="2306" max="2306" width="43.5" style="2" customWidth="1"/>
    <col min="2307" max="2315" width="3.75" style="2" customWidth="1"/>
    <col min="2316" max="2560" width="9" style="2"/>
    <col min="2561" max="2561" width="15.5" style="2" customWidth="1"/>
    <col min="2562" max="2562" width="43.5" style="2" customWidth="1"/>
    <col min="2563" max="2571" width="3.75" style="2" customWidth="1"/>
    <col min="2572" max="2816" width="9" style="2"/>
    <col min="2817" max="2817" width="15.5" style="2" customWidth="1"/>
    <col min="2818" max="2818" width="43.5" style="2" customWidth="1"/>
    <col min="2819" max="2827" width="3.75" style="2" customWidth="1"/>
    <col min="2828" max="3072" width="9" style="2"/>
    <col min="3073" max="3073" width="15.5" style="2" customWidth="1"/>
    <col min="3074" max="3074" width="43.5" style="2" customWidth="1"/>
    <col min="3075" max="3083" width="3.75" style="2" customWidth="1"/>
    <col min="3084" max="3328" width="9" style="2"/>
    <col min="3329" max="3329" width="15.5" style="2" customWidth="1"/>
    <col min="3330" max="3330" width="43.5" style="2" customWidth="1"/>
    <col min="3331" max="3339" width="3.75" style="2" customWidth="1"/>
    <col min="3340" max="3584" width="9" style="2"/>
    <col min="3585" max="3585" width="15.5" style="2" customWidth="1"/>
    <col min="3586" max="3586" width="43.5" style="2" customWidth="1"/>
    <col min="3587" max="3595" width="3.75" style="2" customWidth="1"/>
    <col min="3596" max="3840" width="9" style="2"/>
    <col min="3841" max="3841" width="15.5" style="2" customWidth="1"/>
    <col min="3842" max="3842" width="43.5" style="2" customWidth="1"/>
    <col min="3843" max="3851" width="3.75" style="2" customWidth="1"/>
    <col min="3852" max="4096" width="9" style="2"/>
    <col min="4097" max="4097" width="15.5" style="2" customWidth="1"/>
    <col min="4098" max="4098" width="43.5" style="2" customWidth="1"/>
    <col min="4099" max="4107" width="3.75" style="2" customWidth="1"/>
    <col min="4108" max="4352" width="9" style="2"/>
    <col min="4353" max="4353" width="15.5" style="2" customWidth="1"/>
    <col min="4354" max="4354" width="43.5" style="2" customWidth="1"/>
    <col min="4355" max="4363" width="3.75" style="2" customWidth="1"/>
    <col min="4364" max="4608" width="9" style="2"/>
    <col min="4609" max="4609" width="15.5" style="2" customWidth="1"/>
    <col min="4610" max="4610" width="43.5" style="2" customWidth="1"/>
    <col min="4611" max="4619" width="3.75" style="2" customWidth="1"/>
    <col min="4620" max="4864" width="9" style="2"/>
    <col min="4865" max="4865" width="15.5" style="2" customWidth="1"/>
    <col min="4866" max="4866" width="43.5" style="2" customWidth="1"/>
    <col min="4867" max="4875" width="3.75" style="2" customWidth="1"/>
    <col min="4876" max="5120" width="9" style="2"/>
    <col min="5121" max="5121" width="15.5" style="2" customWidth="1"/>
    <col min="5122" max="5122" width="43.5" style="2" customWidth="1"/>
    <col min="5123" max="5131" width="3.75" style="2" customWidth="1"/>
    <col min="5132" max="5376" width="9" style="2"/>
    <col min="5377" max="5377" width="15.5" style="2" customWidth="1"/>
    <col min="5378" max="5378" width="43.5" style="2" customWidth="1"/>
    <col min="5379" max="5387" width="3.75" style="2" customWidth="1"/>
    <col min="5388" max="5632" width="9" style="2"/>
    <col min="5633" max="5633" width="15.5" style="2" customWidth="1"/>
    <col min="5634" max="5634" width="43.5" style="2" customWidth="1"/>
    <col min="5635" max="5643" width="3.75" style="2" customWidth="1"/>
    <col min="5644" max="5888" width="9" style="2"/>
    <col min="5889" max="5889" width="15.5" style="2" customWidth="1"/>
    <col min="5890" max="5890" width="43.5" style="2" customWidth="1"/>
    <col min="5891" max="5899" width="3.75" style="2" customWidth="1"/>
    <col min="5900" max="6144" width="9" style="2"/>
    <col min="6145" max="6145" width="15.5" style="2" customWidth="1"/>
    <col min="6146" max="6146" width="43.5" style="2" customWidth="1"/>
    <col min="6147" max="6155" width="3.75" style="2" customWidth="1"/>
    <col min="6156" max="6400" width="9" style="2"/>
    <col min="6401" max="6401" width="15.5" style="2" customWidth="1"/>
    <col min="6402" max="6402" width="43.5" style="2" customWidth="1"/>
    <col min="6403" max="6411" width="3.75" style="2" customWidth="1"/>
    <col min="6412" max="6656" width="9" style="2"/>
    <col min="6657" max="6657" width="15.5" style="2" customWidth="1"/>
    <col min="6658" max="6658" width="43.5" style="2" customWidth="1"/>
    <col min="6659" max="6667" width="3.75" style="2" customWidth="1"/>
    <col min="6668" max="6912" width="9" style="2"/>
    <col min="6913" max="6913" width="15.5" style="2" customWidth="1"/>
    <col min="6914" max="6914" width="43.5" style="2" customWidth="1"/>
    <col min="6915" max="6923" width="3.75" style="2" customWidth="1"/>
    <col min="6924" max="7168" width="9" style="2"/>
    <col min="7169" max="7169" width="15.5" style="2" customWidth="1"/>
    <col min="7170" max="7170" width="43.5" style="2" customWidth="1"/>
    <col min="7171" max="7179" width="3.75" style="2" customWidth="1"/>
    <col min="7180" max="7424" width="9" style="2"/>
    <col min="7425" max="7425" width="15.5" style="2" customWidth="1"/>
    <col min="7426" max="7426" width="43.5" style="2" customWidth="1"/>
    <col min="7427" max="7435" width="3.75" style="2" customWidth="1"/>
    <col min="7436" max="7680" width="9" style="2"/>
    <col min="7681" max="7681" width="15.5" style="2" customWidth="1"/>
    <col min="7682" max="7682" width="43.5" style="2" customWidth="1"/>
    <col min="7683" max="7691" width="3.75" style="2" customWidth="1"/>
    <col min="7692" max="7936" width="9" style="2"/>
    <col min="7937" max="7937" width="15.5" style="2" customWidth="1"/>
    <col min="7938" max="7938" width="43.5" style="2" customWidth="1"/>
    <col min="7939" max="7947" width="3.75" style="2" customWidth="1"/>
    <col min="7948" max="8192" width="9" style="2"/>
    <col min="8193" max="8193" width="15.5" style="2" customWidth="1"/>
    <col min="8194" max="8194" width="43.5" style="2" customWidth="1"/>
    <col min="8195" max="8203" width="3.75" style="2" customWidth="1"/>
    <col min="8204" max="8448" width="9" style="2"/>
    <col min="8449" max="8449" width="15.5" style="2" customWidth="1"/>
    <col min="8450" max="8450" width="43.5" style="2" customWidth="1"/>
    <col min="8451" max="8459" width="3.75" style="2" customWidth="1"/>
    <col min="8460" max="8704" width="9" style="2"/>
    <col min="8705" max="8705" width="15.5" style="2" customWidth="1"/>
    <col min="8706" max="8706" width="43.5" style="2" customWidth="1"/>
    <col min="8707" max="8715" width="3.75" style="2" customWidth="1"/>
    <col min="8716" max="8960" width="9" style="2"/>
    <col min="8961" max="8961" width="15.5" style="2" customWidth="1"/>
    <col min="8962" max="8962" width="43.5" style="2" customWidth="1"/>
    <col min="8963" max="8971" width="3.75" style="2" customWidth="1"/>
    <col min="8972" max="9216" width="9" style="2"/>
    <col min="9217" max="9217" width="15.5" style="2" customWidth="1"/>
    <col min="9218" max="9218" width="43.5" style="2" customWidth="1"/>
    <col min="9219" max="9227" width="3.75" style="2" customWidth="1"/>
    <col min="9228" max="9472" width="9" style="2"/>
    <col min="9473" max="9473" width="15.5" style="2" customWidth="1"/>
    <col min="9474" max="9474" width="43.5" style="2" customWidth="1"/>
    <col min="9475" max="9483" width="3.75" style="2" customWidth="1"/>
    <col min="9484" max="9728" width="9" style="2"/>
    <col min="9729" max="9729" width="15.5" style="2" customWidth="1"/>
    <col min="9730" max="9730" width="43.5" style="2" customWidth="1"/>
    <col min="9731" max="9739" width="3.75" style="2" customWidth="1"/>
    <col min="9740" max="9984" width="9" style="2"/>
    <col min="9985" max="9985" width="15.5" style="2" customWidth="1"/>
    <col min="9986" max="9986" width="43.5" style="2" customWidth="1"/>
    <col min="9987" max="9995" width="3.75" style="2" customWidth="1"/>
    <col min="9996" max="10240" width="9" style="2"/>
    <col min="10241" max="10241" width="15.5" style="2" customWidth="1"/>
    <col min="10242" max="10242" width="43.5" style="2" customWidth="1"/>
    <col min="10243" max="10251" width="3.75" style="2" customWidth="1"/>
    <col min="10252" max="10496" width="9" style="2"/>
    <col min="10497" max="10497" width="15.5" style="2" customWidth="1"/>
    <col min="10498" max="10498" width="43.5" style="2" customWidth="1"/>
    <col min="10499" max="10507" width="3.75" style="2" customWidth="1"/>
    <col min="10508" max="10752" width="9" style="2"/>
    <col min="10753" max="10753" width="15.5" style="2" customWidth="1"/>
    <col min="10754" max="10754" width="43.5" style="2" customWidth="1"/>
    <col min="10755" max="10763" width="3.75" style="2" customWidth="1"/>
    <col min="10764" max="11008" width="9" style="2"/>
    <col min="11009" max="11009" width="15.5" style="2" customWidth="1"/>
    <col min="11010" max="11010" width="43.5" style="2" customWidth="1"/>
    <col min="11011" max="11019" width="3.75" style="2" customWidth="1"/>
    <col min="11020" max="11264" width="9" style="2"/>
    <col min="11265" max="11265" width="15.5" style="2" customWidth="1"/>
    <col min="11266" max="11266" width="43.5" style="2" customWidth="1"/>
    <col min="11267" max="11275" width="3.75" style="2" customWidth="1"/>
    <col min="11276" max="11520" width="9" style="2"/>
    <col min="11521" max="11521" width="15.5" style="2" customWidth="1"/>
    <col min="11522" max="11522" width="43.5" style="2" customWidth="1"/>
    <col min="11523" max="11531" width="3.75" style="2" customWidth="1"/>
    <col min="11532" max="11776" width="9" style="2"/>
    <col min="11777" max="11777" width="15.5" style="2" customWidth="1"/>
    <col min="11778" max="11778" width="43.5" style="2" customWidth="1"/>
    <col min="11779" max="11787" width="3.75" style="2" customWidth="1"/>
    <col min="11788" max="12032" width="9" style="2"/>
    <col min="12033" max="12033" width="15.5" style="2" customWidth="1"/>
    <col min="12034" max="12034" width="43.5" style="2" customWidth="1"/>
    <col min="12035" max="12043" width="3.75" style="2" customWidth="1"/>
    <col min="12044" max="12288" width="9" style="2"/>
    <col min="12289" max="12289" width="15.5" style="2" customWidth="1"/>
    <col min="12290" max="12290" width="43.5" style="2" customWidth="1"/>
    <col min="12291" max="12299" width="3.75" style="2" customWidth="1"/>
    <col min="12300" max="12544" width="9" style="2"/>
    <col min="12545" max="12545" width="15.5" style="2" customWidth="1"/>
    <col min="12546" max="12546" width="43.5" style="2" customWidth="1"/>
    <col min="12547" max="12555" width="3.75" style="2" customWidth="1"/>
    <col min="12556" max="12800" width="9" style="2"/>
    <col min="12801" max="12801" width="15.5" style="2" customWidth="1"/>
    <col min="12802" max="12802" width="43.5" style="2" customWidth="1"/>
    <col min="12803" max="12811" width="3.75" style="2" customWidth="1"/>
    <col min="12812" max="13056" width="9" style="2"/>
    <col min="13057" max="13057" width="15.5" style="2" customWidth="1"/>
    <col min="13058" max="13058" width="43.5" style="2" customWidth="1"/>
    <col min="13059" max="13067" width="3.75" style="2" customWidth="1"/>
    <col min="13068" max="13312" width="9" style="2"/>
    <col min="13313" max="13313" width="15.5" style="2" customWidth="1"/>
    <col min="13314" max="13314" width="43.5" style="2" customWidth="1"/>
    <col min="13315" max="13323" width="3.75" style="2" customWidth="1"/>
    <col min="13324" max="13568" width="9" style="2"/>
    <col min="13569" max="13569" width="15.5" style="2" customWidth="1"/>
    <col min="13570" max="13570" width="43.5" style="2" customWidth="1"/>
    <col min="13571" max="13579" width="3.75" style="2" customWidth="1"/>
    <col min="13580" max="13824" width="9" style="2"/>
    <col min="13825" max="13825" width="15.5" style="2" customWidth="1"/>
    <col min="13826" max="13826" width="43.5" style="2" customWidth="1"/>
    <col min="13827" max="13835" width="3.75" style="2" customWidth="1"/>
    <col min="13836" max="14080" width="9" style="2"/>
    <col min="14081" max="14081" width="15.5" style="2" customWidth="1"/>
    <col min="14082" max="14082" width="43.5" style="2" customWidth="1"/>
    <col min="14083" max="14091" width="3.75" style="2" customWidth="1"/>
    <col min="14092" max="14336" width="9" style="2"/>
    <col min="14337" max="14337" width="15.5" style="2" customWidth="1"/>
    <col min="14338" max="14338" width="43.5" style="2" customWidth="1"/>
    <col min="14339" max="14347" width="3.75" style="2" customWidth="1"/>
    <col min="14348" max="14592" width="9" style="2"/>
    <col min="14593" max="14593" width="15.5" style="2" customWidth="1"/>
    <col min="14594" max="14594" width="43.5" style="2" customWidth="1"/>
    <col min="14595" max="14603" width="3.75" style="2" customWidth="1"/>
    <col min="14604" max="14848" width="9" style="2"/>
    <col min="14849" max="14849" width="15.5" style="2" customWidth="1"/>
    <col min="14850" max="14850" width="43.5" style="2" customWidth="1"/>
    <col min="14851" max="14859" width="3.75" style="2" customWidth="1"/>
    <col min="14860" max="15104" width="9" style="2"/>
    <col min="15105" max="15105" width="15.5" style="2" customWidth="1"/>
    <col min="15106" max="15106" width="43.5" style="2" customWidth="1"/>
    <col min="15107" max="15115" width="3.75" style="2" customWidth="1"/>
    <col min="15116" max="15360" width="9" style="2"/>
    <col min="15361" max="15361" width="15.5" style="2" customWidth="1"/>
    <col min="15362" max="15362" width="43.5" style="2" customWidth="1"/>
    <col min="15363" max="15371" width="3.75" style="2" customWidth="1"/>
    <col min="15372" max="15616" width="9" style="2"/>
    <col min="15617" max="15617" width="15.5" style="2" customWidth="1"/>
    <col min="15618" max="15618" width="43.5" style="2" customWidth="1"/>
    <col min="15619" max="15627" width="3.75" style="2" customWidth="1"/>
    <col min="15628" max="15872" width="9" style="2"/>
    <col min="15873" max="15873" width="15.5" style="2" customWidth="1"/>
    <col min="15874" max="15874" width="43.5" style="2" customWidth="1"/>
    <col min="15875" max="15883" width="3.75" style="2" customWidth="1"/>
    <col min="15884" max="16128" width="9" style="2"/>
    <col min="16129" max="16129" width="15.5" style="2" customWidth="1"/>
    <col min="16130" max="16130" width="43.5" style="2" customWidth="1"/>
    <col min="16131" max="16139" width="3.75" style="2" customWidth="1"/>
    <col min="16140" max="16384" width="9" style="2"/>
  </cols>
  <sheetData>
    <row r="1" spans="1:12" ht="25.35" customHeight="1">
      <c r="A1" s="224" t="s">
        <v>0</v>
      </c>
      <c r="B1" s="224"/>
      <c r="C1" s="225"/>
      <c r="D1" s="225"/>
      <c r="E1" s="225"/>
      <c r="F1" s="225"/>
      <c r="G1" s="225"/>
      <c r="H1" s="225"/>
      <c r="I1" s="225"/>
      <c r="J1" s="225"/>
      <c r="K1" s="225"/>
      <c r="L1" s="218"/>
    </row>
    <row r="2" spans="1:12" ht="25.35" customHeight="1" thickBot="1">
      <c r="A2" s="226" t="s">
        <v>366</v>
      </c>
      <c r="B2" s="226"/>
      <c r="C2" s="227"/>
      <c r="D2" s="227"/>
      <c r="E2" s="227"/>
      <c r="F2" s="227"/>
      <c r="G2" s="227"/>
      <c r="H2" s="227"/>
      <c r="I2" s="227"/>
      <c r="J2" s="227"/>
      <c r="K2" s="227"/>
      <c r="L2" s="218"/>
    </row>
    <row r="3" spans="1:12" ht="12" customHeight="1">
      <c r="A3" s="228" t="s">
        <v>365</v>
      </c>
      <c r="B3" s="417" t="s">
        <v>364</v>
      </c>
      <c r="C3" s="416"/>
      <c r="D3" s="415"/>
      <c r="E3" s="236" t="s">
        <v>19</v>
      </c>
      <c r="F3" s="238" t="s">
        <v>369</v>
      </c>
      <c r="G3" s="239"/>
      <c r="H3" s="239"/>
      <c r="I3" s="239"/>
      <c r="J3" s="239"/>
      <c r="K3" s="240"/>
      <c r="L3" s="414"/>
    </row>
    <row r="4" spans="1:12" ht="12.75" customHeight="1" thickBot="1">
      <c r="A4" s="229"/>
      <c r="B4" s="413"/>
      <c r="C4" s="412"/>
      <c r="D4" s="411"/>
      <c r="E4" s="237"/>
      <c r="F4" s="241"/>
      <c r="G4" s="242"/>
      <c r="H4" s="242"/>
      <c r="I4" s="242"/>
      <c r="J4" s="242"/>
      <c r="K4" s="243"/>
    </row>
    <row r="5" spans="1:12" ht="15.6" customHeight="1">
      <c r="A5" s="410" t="s">
        <v>363</v>
      </c>
      <c r="B5" s="409" t="s">
        <v>25</v>
      </c>
      <c r="C5" s="245"/>
      <c r="D5" s="245"/>
      <c r="E5" s="246"/>
      <c r="F5" s="250" t="s">
        <v>20</v>
      </c>
      <c r="G5" s="251"/>
      <c r="H5" s="251"/>
      <c r="I5" s="251"/>
      <c r="J5" s="251"/>
      <c r="K5" s="252"/>
    </row>
    <row r="6" spans="1:12" ht="16.149999999999999" customHeight="1">
      <c r="A6" s="408"/>
      <c r="B6" s="407"/>
      <c r="C6" s="248"/>
      <c r="D6" s="248"/>
      <c r="E6" s="249"/>
      <c r="F6" s="27" t="s">
        <v>5</v>
      </c>
      <c r="G6" s="27" t="s">
        <v>6</v>
      </c>
      <c r="H6" s="27" t="s">
        <v>3</v>
      </c>
      <c r="I6" s="27" t="s">
        <v>4</v>
      </c>
      <c r="J6" s="27" t="s">
        <v>5</v>
      </c>
      <c r="K6" s="28" t="s">
        <v>7</v>
      </c>
    </row>
    <row r="7" spans="1:12" ht="24" customHeight="1">
      <c r="A7" s="406"/>
      <c r="B7" s="405" t="s">
        <v>367</v>
      </c>
      <c r="C7" s="404"/>
      <c r="D7" s="404"/>
      <c r="E7" s="403"/>
      <c r="F7" s="34" t="s">
        <v>59</v>
      </c>
      <c r="G7" s="30">
        <v>1</v>
      </c>
      <c r="H7" s="30">
        <v>6</v>
      </c>
      <c r="I7" s="30">
        <v>8</v>
      </c>
      <c r="J7" s="30">
        <v>0</v>
      </c>
      <c r="K7" s="31">
        <v>0</v>
      </c>
    </row>
    <row r="8" spans="1:12" ht="24" customHeight="1">
      <c r="A8" s="402"/>
      <c r="B8" s="405" t="s">
        <v>368</v>
      </c>
      <c r="C8" s="404"/>
      <c r="D8" s="404"/>
      <c r="E8" s="403"/>
      <c r="F8" s="35" t="s">
        <v>59</v>
      </c>
      <c r="G8" s="32" t="s">
        <v>59</v>
      </c>
      <c r="H8" s="32">
        <v>4</v>
      </c>
      <c r="I8" s="32">
        <v>2</v>
      </c>
      <c r="J8" s="32">
        <v>0</v>
      </c>
      <c r="K8" s="33">
        <v>0</v>
      </c>
    </row>
    <row r="9" spans="1:12" ht="24" customHeight="1">
      <c r="A9" s="402"/>
      <c r="B9" s="401"/>
      <c r="C9" s="400"/>
      <c r="D9" s="400"/>
      <c r="E9" s="399"/>
      <c r="F9" s="35"/>
      <c r="G9" s="32"/>
      <c r="H9" s="32"/>
      <c r="I9" s="32"/>
      <c r="J9" s="32"/>
      <c r="K9" s="33"/>
    </row>
    <row r="10" spans="1:12" ht="24" customHeight="1">
      <c r="A10" s="402"/>
      <c r="B10" s="401"/>
      <c r="C10" s="400"/>
      <c r="D10" s="400"/>
      <c r="E10" s="399"/>
      <c r="F10" s="35"/>
      <c r="G10" s="32"/>
      <c r="H10" s="32"/>
      <c r="I10" s="32"/>
      <c r="J10" s="32"/>
      <c r="K10" s="33"/>
    </row>
    <row r="11" spans="1:12" ht="24" customHeight="1">
      <c r="A11" s="398"/>
      <c r="B11" s="401"/>
      <c r="C11" s="400"/>
      <c r="D11" s="400"/>
      <c r="E11" s="399"/>
      <c r="F11" s="35"/>
      <c r="G11" s="32"/>
      <c r="H11" s="32"/>
      <c r="I11" s="32"/>
      <c r="J11" s="32"/>
      <c r="K11" s="33"/>
    </row>
    <row r="12" spans="1:12" ht="24" customHeight="1">
      <c r="A12" s="398"/>
      <c r="B12" s="397"/>
      <c r="C12" s="29"/>
      <c r="D12" s="29"/>
      <c r="E12" s="29"/>
      <c r="F12" s="35"/>
      <c r="G12" s="32"/>
      <c r="H12" s="32"/>
      <c r="I12" s="32"/>
      <c r="J12" s="32"/>
      <c r="K12" s="33"/>
    </row>
    <row r="13" spans="1:12" ht="24" customHeight="1">
      <c r="A13" s="396"/>
      <c r="B13" s="395"/>
      <c r="C13" s="48"/>
      <c r="D13" s="48"/>
      <c r="E13" s="48"/>
      <c r="F13" s="49"/>
      <c r="G13" s="50"/>
      <c r="H13" s="50"/>
      <c r="I13" s="50"/>
      <c r="J13" s="50"/>
      <c r="K13" s="51"/>
    </row>
    <row r="14" spans="1:12" ht="25.35" customHeight="1" thickBot="1">
      <c r="A14" s="394" t="s">
        <v>370</v>
      </c>
      <c r="B14" s="393"/>
      <c r="C14" s="392"/>
      <c r="D14" s="392"/>
      <c r="E14" s="392" t="s">
        <v>22</v>
      </c>
      <c r="F14" s="391" t="s">
        <v>59</v>
      </c>
      <c r="G14" s="390">
        <v>2</v>
      </c>
      <c r="H14" s="390">
        <v>1</v>
      </c>
      <c r="I14" s="390">
        <v>0</v>
      </c>
      <c r="J14" s="390">
        <v>0</v>
      </c>
      <c r="K14" s="389">
        <v>0</v>
      </c>
    </row>
    <row r="15" spans="1:12" ht="10.9" customHeight="1">
      <c r="A15" s="19"/>
      <c r="B15" s="388"/>
      <c r="C15" s="20"/>
      <c r="D15" s="20"/>
      <c r="E15" s="21"/>
      <c r="F15" s="21"/>
      <c r="G15" s="21"/>
      <c r="H15" s="21"/>
      <c r="I15" s="21"/>
      <c r="J15" s="21"/>
      <c r="K15" s="22"/>
    </row>
    <row r="16" spans="1:12" ht="16.149999999999999" customHeight="1">
      <c r="A16" s="23" t="s">
        <v>114</v>
      </c>
      <c r="B16" s="387" t="s">
        <v>362</v>
      </c>
      <c r="C16" s="24" t="s">
        <v>2</v>
      </c>
      <c r="D16" s="24" t="s">
        <v>13</v>
      </c>
      <c r="E16" s="219" t="s">
        <v>18</v>
      </c>
      <c r="F16" s="253" t="s">
        <v>361</v>
      </c>
      <c r="G16" s="254"/>
      <c r="H16" s="254"/>
      <c r="I16" s="253" t="s">
        <v>8</v>
      </c>
      <c r="J16" s="254"/>
      <c r="K16" s="386"/>
    </row>
    <row r="17" spans="1:16" ht="11.25" customHeight="1">
      <c r="A17" s="15"/>
      <c r="B17" s="385"/>
      <c r="C17" s="16" t="s">
        <v>9</v>
      </c>
      <c r="D17" s="16"/>
      <c r="E17" s="25"/>
      <c r="F17" s="383"/>
      <c r="G17" s="25"/>
      <c r="H17" s="384"/>
      <c r="I17" s="383"/>
      <c r="J17" s="25"/>
      <c r="K17" s="382"/>
    </row>
    <row r="18" spans="1:16" ht="21" customHeight="1">
      <c r="A18" s="17"/>
      <c r="B18" s="381"/>
      <c r="C18" s="18"/>
      <c r="D18" s="18"/>
      <c r="E18" s="378"/>
      <c r="F18" s="379"/>
      <c r="G18" s="378"/>
      <c r="H18" s="380"/>
      <c r="I18" s="379"/>
      <c r="J18" s="378"/>
      <c r="K18" s="377"/>
      <c r="P18" s="4"/>
    </row>
    <row r="19" spans="1:16" ht="21.75" customHeight="1" thickBot="1">
      <c r="A19" s="376"/>
      <c r="B19" s="375"/>
      <c r="C19" s="374"/>
      <c r="D19" s="374"/>
      <c r="E19" s="371"/>
      <c r="F19" s="372"/>
      <c r="G19" s="371"/>
      <c r="H19" s="373"/>
      <c r="I19" s="372"/>
      <c r="J19" s="371"/>
      <c r="K19" s="370"/>
      <c r="P19" s="4"/>
    </row>
    <row r="20" spans="1:16">
      <c r="A20" s="222" t="s">
        <v>21</v>
      </c>
      <c r="B20" s="222"/>
      <c r="C20" s="223"/>
      <c r="D20" s="223"/>
      <c r="E20" s="223"/>
      <c r="F20" s="223"/>
      <c r="G20" s="223"/>
      <c r="H20" s="223"/>
      <c r="I20" s="223"/>
      <c r="J20" s="223"/>
      <c r="K20" s="223"/>
    </row>
  </sheetData>
  <mergeCells count="17">
    <mergeCell ref="B9:E9"/>
    <mergeCell ref="A1:K1"/>
    <mergeCell ref="A2:K2"/>
    <mergeCell ref="A3:A4"/>
    <mergeCell ref="B3:D4"/>
    <mergeCell ref="E3:E4"/>
    <mergeCell ref="F3:K4"/>
    <mergeCell ref="B10:E10"/>
    <mergeCell ref="B11:E11"/>
    <mergeCell ref="F16:H16"/>
    <mergeCell ref="I16:K16"/>
    <mergeCell ref="A20:K20"/>
    <mergeCell ref="A5:A6"/>
    <mergeCell ref="B5:E6"/>
    <mergeCell ref="F5:K5"/>
    <mergeCell ref="B7:E7"/>
    <mergeCell ref="B8:E8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0B9A-F084-4D14-92E4-3F67C0D98D9C}">
  <sheetPr codeName="工作表68"/>
  <dimension ref="A1:N19"/>
  <sheetViews>
    <sheetView view="pageBreakPreview" zoomScale="115" zoomScaleNormal="100" zoomScaleSheetLayoutView="115" workbookViewId="0">
      <selection activeCell="B11" sqref="B11:K11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288</v>
      </c>
      <c r="M3" s="130" t="s">
        <v>357</v>
      </c>
      <c r="N3" s="131" t="s">
        <v>358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216" t="s">
        <v>27</v>
      </c>
      <c r="L4" s="216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356</v>
      </c>
      <c r="C5" s="268"/>
      <c r="D5" s="268"/>
      <c r="E5" s="268"/>
      <c r="F5" s="269"/>
      <c r="G5" s="133"/>
      <c r="H5" s="134"/>
      <c r="I5" s="156"/>
      <c r="J5" s="132"/>
      <c r="K5" s="217">
        <v>1</v>
      </c>
      <c r="L5" s="217" t="s">
        <v>55</v>
      </c>
      <c r="M5" s="270">
        <v>78750</v>
      </c>
      <c r="N5" s="271"/>
    </row>
    <row r="6" spans="1:14" ht="28.15" customHeight="1">
      <c r="A6" s="96"/>
      <c r="B6" s="276" t="s">
        <v>360</v>
      </c>
      <c r="C6" s="277"/>
      <c r="D6" s="277"/>
      <c r="E6" s="277"/>
      <c r="F6" s="278"/>
      <c r="G6" s="136"/>
      <c r="H6" s="137"/>
      <c r="I6" s="136"/>
      <c r="J6" s="61"/>
      <c r="K6" s="94"/>
      <c r="L6" s="94"/>
      <c r="M6" s="272"/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 t="s">
        <v>359</v>
      </c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78750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8F153-1672-4B08-A42B-0408DF7BA814}">
  <sheetPr codeName="工作表69"/>
  <dimension ref="A1:N19"/>
  <sheetViews>
    <sheetView tabSelected="1" view="pageBreakPreview" zoomScale="115" zoomScaleNormal="100" zoomScaleSheetLayoutView="115" workbookViewId="0">
      <selection activeCell="I6" sqref="I6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288</v>
      </c>
      <c r="M3" s="130" t="s">
        <v>357</v>
      </c>
      <c r="N3" s="131" t="s">
        <v>117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220" t="s">
        <v>27</v>
      </c>
      <c r="L4" s="220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372</v>
      </c>
      <c r="C5" s="268"/>
      <c r="D5" s="268"/>
      <c r="E5" s="268"/>
      <c r="F5" s="269"/>
      <c r="G5" s="133" t="s">
        <v>371</v>
      </c>
      <c r="H5" s="134"/>
      <c r="I5" s="156" t="s">
        <v>374</v>
      </c>
      <c r="J5" s="132"/>
      <c r="K5" s="221">
        <v>1</v>
      </c>
      <c r="L5" s="221" t="s">
        <v>55</v>
      </c>
      <c r="M5" s="270">
        <v>16800</v>
      </c>
      <c r="N5" s="271"/>
    </row>
    <row r="6" spans="1:14" ht="28.15" customHeight="1">
      <c r="A6" s="96">
        <v>2</v>
      </c>
      <c r="B6" s="276" t="s">
        <v>373</v>
      </c>
      <c r="C6" s="277"/>
      <c r="D6" s="277"/>
      <c r="E6" s="277"/>
      <c r="F6" s="278"/>
      <c r="G6" s="136"/>
      <c r="H6" s="137"/>
      <c r="I6" s="157" t="s">
        <v>374</v>
      </c>
      <c r="J6" s="61"/>
      <c r="K6" s="94">
        <v>1</v>
      </c>
      <c r="L6" s="94" t="s">
        <v>55</v>
      </c>
      <c r="M6" s="272">
        <v>4200</v>
      </c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21000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  <mergeCell ref="M8:N8"/>
    <mergeCell ref="M9:N9"/>
    <mergeCell ref="M10:N10"/>
    <mergeCell ref="B11:K11"/>
    <mergeCell ref="M11:N11"/>
    <mergeCell ref="A12:N12"/>
    <mergeCell ref="B5:F5"/>
    <mergeCell ref="M5:N5"/>
    <mergeCell ref="B6:F6"/>
    <mergeCell ref="M6:N6"/>
    <mergeCell ref="B7:F7"/>
    <mergeCell ref="M7:N7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23F8-0529-47DA-810B-DF701F0FD5C3}">
  <sheetPr codeName="工作表61"/>
  <dimension ref="A1:N19"/>
  <sheetViews>
    <sheetView view="pageBreakPreview" zoomScale="115" zoomScaleNormal="100" zoomScaleSheetLayoutView="115" workbookViewId="0">
      <selection activeCell="B7" sqref="B7:F7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288</v>
      </c>
      <c r="M3" s="130" t="s">
        <v>338</v>
      </c>
      <c r="N3" s="131" t="s">
        <v>349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212" t="s">
        <v>27</v>
      </c>
      <c r="L4" s="212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348</v>
      </c>
      <c r="C5" s="268"/>
      <c r="D5" s="268"/>
      <c r="E5" s="268"/>
      <c r="F5" s="269"/>
      <c r="G5" s="133" t="s">
        <v>340</v>
      </c>
      <c r="H5" s="134"/>
      <c r="I5" s="133" t="s">
        <v>341</v>
      </c>
      <c r="J5" s="132"/>
      <c r="K5" s="213">
        <v>1</v>
      </c>
      <c r="L5" s="213" t="s">
        <v>344</v>
      </c>
      <c r="M5" s="270">
        <v>1450</v>
      </c>
      <c r="N5" s="271"/>
    </row>
    <row r="6" spans="1:14" ht="28.15" customHeight="1">
      <c r="A6" s="96">
        <v>2</v>
      </c>
      <c r="B6" s="276" t="s">
        <v>343</v>
      </c>
      <c r="C6" s="277"/>
      <c r="D6" s="277"/>
      <c r="E6" s="277"/>
      <c r="F6" s="278"/>
      <c r="G6" s="136" t="s">
        <v>342</v>
      </c>
      <c r="H6" s="137"/>
      <c r="I6" s="136" t="s">
        <v>341</v>
      </c>
      <c r="J6" s="61"/>
      <c r="K6" s="94">
        <v>1</v>
      </c>
      <c r="L6" s="94" t="s">
        <v>125</v>
      </c>
      <c r="M6" s="272">
        <v>329</v>
      </c>
      <c r="N6" s="273"/>
    </row>
    <row r="7" spans="1:14" ht="28.15" customHeight="1">
      <c r="A7" s="96">
        <v>3</v>
      </c>
      <c r="B7" s="312" t="s">
        <v>345</v>
      </c>
      <c r="C7" s="277"/>
      <c r="D7" s="277"/>
      <c r="E7" s="277"/>
      <c r="F7" s="278"/>
      <c r="G7" s="136" t="s">
        <v>346</v>
      </c>
      <c r="H7" s="137"/>
      <c r="I7" s="136" t="s">
        <v>347</v>
      </c>
      <c r="J7" s="61"/>
      <c r="K7" s="94">
        <v>1</v>
      </c>
      <c r="L7" s="94" t="s">
        <v>344</v>
      </c>
      <c r="M7" s="274">
        <v>3490</v>
      </c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f>SUM(M5:N10)</f>
        <v>5269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A1:N1"/>
    <mergeCell ref="A2:N2"/>
    <mergeCell ref="A3:B3"/>
    <mergeCell ref="C3:K3"/>
    <mergeCell ref="B4:F4"/>
    <mergeCell ref="G4:H4"/>
    <mergeCell ref="I4:J4"/>
    <mergeCell ref="M4:N4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104D5-8AA2-4BDF-AA7B-B60D46D66026}">
  <sheetPr codeName="工作表62"/>
  <dimension ref="A1:N19"/>
  <sheetViews>
    <sheetView view="pageBreakPreview" zoomScale="115" zoomScaleNormal="100" zoomScaleSheetLayoutView="115" workbookViewId="0">
      <selection activeCell="M11" sqref="M11:N11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288</v>
      </c>
      <c r="M3" s="130" t="s">
        <v>318</v>
      </c>
      <c r="N3" s="131" t="s">
        <v>126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208" t="s">
        <v>27</v>
      </c>
      <c r="L4" s="208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331</v>
      </c>
      <c r="C5" s="268"/>
      <c r="D5" s="268"/>
      <c r="E5" s="268"/>
      <c r="F5" s="269"/>
      <c r="G5" s="133" t="s">
        <v>332</v>
      </c>
      <c r="H5" s="134"/>
      <c r="I5" s="156" t="s">
        <v>333</v>
      </c>
      <c r="J5" s="132"/>
      <c r="K5" s="209">
        <v>1</v>
      </c>
      <c r="L5" s="209" t="s">
        <v>55</v>
      </c>
      <c r="M5" s="270">
        <v>1100</v>
      </c>
      <c r="N5" s="271"/>
    </row>
    <row r="6" spans="1:14" ht="28.15" customHeight="1">
      <c r="A6" s="96"/>
      <c r="B6" s="276"/>
      <c r="C6" s="277"/>
      <c r="D6" s="277"/>
      <c r="E6" s="277"/>
      <c r="F6" s="278"/>
      <c r="G6" s="136"/>
      <c r="H6" s="137"/>
      <c r="I6" s="136"/>
      <c r="J6" s="61"/>
      <c r="K6" s="94"/>
      <c r="L6" s="94"/>
      <c r="M6" s="272"/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1100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A1:N1"/>
    <mergeCell ref="A2:N2"/>
    <mergeCell ref="A3:B3"/>
    <mergeCell ref="C3:K3"/>
    <mergeCell ref="B4:F4"/>
    <mergeCell ref="G4:H4"/>
    <mergeCell ref="I4:J4"/>
    <mergeCell ref="M4:N4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09F4-1752-4D1F-B236-B8EFDFB4FDF5}">
  <sheetPr codeName="工作表63"/>
  <dimension ref="A1:N19"/>
  <sheetViews>
    <sheetView view="pageBreakPreview" zoomScale="115" zoomScaleNormal="100" zoomScaleSheetLayoutView="115" workbookViewId="0">
      <selection activeCell="I5" sqref="I5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288</v>
      </c>
      <c r="M3" s="130" t="s">
        <v>338</v>
      </c>
      <c r="N3" s="131" t="s">
        <v>339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210" t="s">
        <v>27</v>
      </c>
      <c r="L4" s="210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335</v>
      </c>
      <c r="C5" s="268"/>
      <c r="D5" s="268"/>
      <c r="E5" s="268"/>
      <c r="F5" s="269"/>
      <c r="G5" s="133"/>
      <c r="H5" s="134"/>
      <c r="I5" s="176" t="s">
        <v>336</v>
      </c>
      <c r="J5" s="132"/>
      <c r="K5" s="211">
        <v>2</v>
      </c>
      <c r="L5" s="211" t="s">
        <v>55</v>
      </c>
      <c r="M5" s="313" t="s">
        <v>337</v>
      </c>
      <c r="N5" s="314"/>
    </row>
    <row r="6" spans="1:14" ht="28.15" customHeight="1">
      <c r="A6" s="96"/>
      <c r="B6" s="276"/>
      <c r="C6" s="277"/>
      <c r="D6" s="277"/>
      <c r="E6" s="277"/>
      <c r="F6" s="278"/>
      <c r="G6" s="136"/>
      <c r="H6" s="137"/>
      <c r="I6" s="136"/>
      <c r="J6" s="61"/>
      <c r="K6" s="94"/>
      <c r="L6" s="94"/>
      <c r="M6" s="272"/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15" t="s">
        <v>337</v>
      </c>
      <c r="N11" s="316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6957-DF6E-4ADB-878F-1EA1C5D8E4AE}">
  <sheetPr codeName="工作表64"/>
  <dimension ref="A1:N19"/>
  <sheetViews>
    <sheetView view="pageBreakPreview" zoomScale="115" zoomScaleNormal="100" zoomScaleSheetLayoutView="115" workbookViewId="0">
      <selection activeCell="B5" sqref="B5:F5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288</v>
      </c>
      <c r="M3" s="130" t="s">
        <v>289</v>
      </c>
      <c r="N3" s="131" t="s">
        <v>260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208" t="s">
        <v>27</v>
      </c>
      <c r="L4" s="208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334</v>
      </c>
      <c r="C5" s="268"/>
      <c r="D5" s="268"/>
      <c r="E5" s="268"/>
      <c r="F5" s="269"/>
      <c r="G5" s="133"/>
      <c r="H5" s="134"/>
      <c r="I5" s="156"/>
      <c r="J5" s="132"/>
      <c r="K5" s="209">
        <v>2</v>
      </c>
      <c r="L5" s="209" t="s">
        <v>125</v>
      </c>
      <c r="M5" s="270">
        <v>1390</v>
      </c>
      <c r="N5" s="271"/>
    </row>
    <row r="6" spans="1:14" ht="28.15" customHeight="1">
      <c r="A6" s="96"/>
      <c r="B6" s="276"/>
      <c r="C6" s="277"/>
      <c r="D6" s="277"/>
      <c r="E6" s="277"/>
      <c r="F6" s="278"/>
      <c r="G6" s="136"/>
      <c r="H6" s="137"/>
      <c r="I6" s="136"/>
      <c r="J6" s="61"/>
      <c r="K6" s="94"/>
      <c r="L6" s="94"/>
      <c r="M6" s="272"/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1390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A1:N1"/>
    <mergeCell ref="A2:N2"/>
    <mergeCell ref="A3:B3"/>
    <mergeCell ref="C3:K3"/>
    <mergeCell ref="B4:F4"/>
    <mergeCell ref="G4:H4"/>
    <mergeCell ref="I4:J4"/>
    <mergeCell ref="M4:N4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4F3A-F581-49DE-BA15-EE31E06E4A17}">
  <sheetPr codeName="工作表65"/>
  <dimension ref="A1:N19"/>
  <sheetViews>
    <sheetView view="pageBreakPreview" zoomScale="115" zoomScaleNormal="100" zoomScaleSheetLayoutView="115" workbookViewId="0">
      <selection activeCell="B7" sqref="B7:F7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288</v>
      </c>
      <c r="M3" s="130" t="s">
        <v>318</v>
      </c>
      <c r="N3" s="131" t="s">
        <v>126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208" t="s">
        <v>27</v>
      </c>
      <c r="L4" s="208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294</v>
      </c>
      <c r="C5" s="268"/>
      <c r="D5" s="268"/>
      <c r="E5" s="268"/>
      <c r="F5" s="269"/>
      <c r="G5" s="133" t="s">
        <v>326</v>
      </c>
      <c r="H5" s="134"/>
      <c r="I5" s="156" t="s">
        <v>295</v>
      </c>
      <c r="J5" s="132"/>
      <c r="K5" s="209">
        <v>2</v>
      </c>
      <c r="L5" s="209" t="s">
        <v>297</v>
      </c>
      <c r="M5" s="270">
        <v>1570</v>
      </c>
      <c r="N5" s="271"/>
    </row>
    <row r="6" spans="1:14" ht="28.15" customHeight="1">
      <c r="A6" s="96">
        <v>2</v>
      </c>
      <c r="B6" s="276" t="s">
        <v>327</v>
      </c>
      <c r="C6" s="277"/>
      <c r="D6" s="277"/>
      <c r="E6" s="277"/>
      <c r="F6" s="278"/>
      <c r="G6" s="136" t="s">
        <v>328</v>
      </c>
      <c r="H6" s="137"/>
      <c r="I6" s="157" t="s">
        <v>295</v>
      </c>
      <c r="J6" s="61"/>
      <c r="K6" s="94">
        <v>1</v>
      </c>
      <c r="L6" s="94" t="s">
        <v>47</v>
      </c>
      <c r="M6" s="272">
        <v>148</v>
      </c>
      <c r="N6" s="273"/>
    </row>
    <row r="7" spans="1:14" ht="28.15" customHeight="1">
      <c r="A7" s="96">
        <v>3</v>
      </c>
      <c r="B7" s="279" t="s">
        <v>299</v>
      </c>
      <c r="C7" s="280"/>
      <c r="D7" s="280"/>
      <c r="E7" s="280"/>
      <c r="F7" s="281"/>
      <c r="G7" s="136" t="s">
        <v>329</v>
      </c>
      <c r="H7" s="137"/>
      <c r="I7" s="157" t="s">
        <v>295</v>
      </c>
      <c r="J7" s="61"/>
      <c r="K7" s="94">
        <v>2</v>
      </c>
      <c r="L7" s="94" t="s">
        <v>253</v>
      </c>
      <c r="M7" s="274">
        <v>90</v>
      </c>
      <c r="N7" s="275"/>
    </row>
    <row r="8" spans="1:14" ht="28.15" customHeight="1">
      <c r="A8" s="96">
        <v>4</v>
      </c>
      <c r="B8" s="279" t="s">
        <v>299</v>
      </c>
      <c r="C8" s="280"/>
      <c r="D8" s="280"/>
      <c r="E8" s="280"/>
      <c r="F8" s="281"/>
      <c r="G8" s="53" t="s">
        <v>330</v>
      </c>
      <c r="H8" s="137"/>
      <c r="I8" s="157" t="s">
        <v>295</v>
      </c>
      <c r="J8" s="61"/>
      <c r="K8" s="94">
        <v>1</v>
      </c>
      <c r="L8" s="94" t="s">
        <v>253</v>
      </c>
      <c r="M8" s="274">
        <v>10</v>
      </c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1818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30">
    <mergeCell ref="A1:N1"/>
    <mergeCell ref="A2:N2"/>
    <mergeCell ref="A3:B3"/>
    <mergeCell ref="C3:K3"/>
    <mergeCell ref="B4:F4"/>
    <mergeCell ref="G4:H4"/>
    <mergeCell ref="I4:J4"/>
    <mergeCell ref="M4:N4"/>
    <mergeCell ref="B5:F5"/>
    <mergeCell ref="M5:N5"/>
    <mergeCell ref="B6:F6"/>
    <mergeCell ref="M6:N6"/>
    <mergeCell ref="B7:F7"/>
    <mergeCell ref="M7:N7"/>
    <mergeCell ref="M13:N13"/>
    <mergeCell ref="A14:B16"/>
    <mergeCell ref="A17:N17"/>
    <mergeCell ref="B8:F8"/>
    <mergeCell ref="A13:B13"/>
    <mergeCell ref="C13:D13"/>
    <mergeCell ref="E13:F13"/>
    <mergeCell ref="G13:H13"/>
    <mergeCell ref="I13:J13"/>
    <mergeCell ref="K13:L13"/>
    <mergeCell ref="M8:N8"/>
    <mergeCell ref="M9:N9"/>
    <mergeCell ref="M10:N10"/>
    <mergeCell ref="B11:K11"/>
    <mergeCell ref="M11:N11"/>
    <mergeCell ref="A12:N12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41ED-1F8D-4430-8CE9-4F9B0B3C50F6}">
  <sheetPr codeName="工作表17"/>
  <dimension ref="A1:N19"/>
  <sheetViews>
    <sheetView view="pageBreakPreview" zoomScale="115" zoomScaleNormal="100" zoomScaleSheetLayoutView="115" workbookViewId="0">
      <selection activeCell="Q3" sqref="Q3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116</v>
      </c>
      <c r="N3" s="131" t="s">
        <v>126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48" t="s">
        <v>27</v>
      </c>
      <c r="L4" s="148" t="s">
        <v>28</v>
      </c>
      <c r="M4" s="290" t="s">
        <v>32</v>
      </c>
      <c r="N4" s="291"/>
    </row>
    <row r="5" spans="1:14" ht="28.15" customHeight="1">
      <c r="A5" s="95">
        <v>1</v>
      </c>
      <c r="B5" s="317" t="s">
        <v>127</v>
      </c>
      <c r="C5" s="318"/>
      <c r="D5" s="318"/>
      <c r="E5" s="318"/>
      <c r="F5" s="319"/>
      <c r="G5" s="133" t="s">
        <v>128</v>
      </c>
      <c r="H5" s="134"/>
      <c r="I5" s="153" t="s">
        <v>129</v>
      </c>
      <c r="J5" s="132"/>
      <c r="K5" s="149">
        <v>1</v>
      </c>
      <c r="L5" s="149" t="s">
        <v>130</v>
      </c>
      <c r="M5" s="320">
        <v>7888</v>
      </c>
      <c r="N5" s="271"/>
    </row>
    <row r="6" spans="1:14" ht="28.15" customHeight="1">
      <c r="A6" s="96"/>
      <c r="B6" s="56"/>
      <c r="C6" s="56"/>
      <c r="D6" s="56"/>
      <c r="E6" s="135"/>
      <c r="F6" s="61"/>
      <c r="G6" s="136"/>
      <c r="H6" s="137"/>
      <c r="I6" s="136"/>
      <c r="J6" s="61"/>
      <c r="K6" s="94"/>
      <c r="L6" s="94"/>
      <c r="M6" s="274"/>
      <c r="N6" s="275"/>
    </row>
    <row r="7" spans="1:14" ht="28.15" customHeight="1">
      <c r="A7" s="96"/>
      <c r="B7" s="56"/>
      <c r="C7" s="56"/>
      <c r="D7" s="56"/>
      <c r="E7" s="135"/>
      <c r="F7" s="6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21"/>
      <c r="C11" s="321"/>
      <c r="D11" s="321"/>
      <c r="E11" s="321"/>
      <c r="F11" s="321"/>
      <c r="G11" s="321"/>
      <c r="H11" s="321"/>
      <c r="I11" s="321"/>
      <c r="J11" s="321"/>
      <c r="K11" s="321"/>
      <c r="L11" s="67" t="s">
        <v>30</v>
      </c>
      <c r="M11" s="301">
        <v>7888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7">
    <mergeCell ref="M13:N13"/>
    <mergeCell ref="A14:B16"/>
    <mergeCell ref="A17:N17"/>
    <mergeCell ref="M10:N10"/>
    <mergeCell ref="B11:K11"/>
    <mergeCell ref="M11:N11"/>
    <mergeCell ref="A12:N12"/>
    <mergeCell ref="A13:B13"/>
    <mergeCell ref="C13:D13"/>
    <mergeCell ref="E13:F13"/>
    <mergeCell ref="G13:H13"/>
    <mergeCell ref="I13:J13"/>
    <mergeCell ref="K13:L13"/>
    <mergeCell ref="M9:N9"/>
    <mergeCell ref="A1:N1"/>
    <mergeCell ref="A2:N2"/>
    <mergeCell ref="A3:B3"/>
    <mergeCell ref="C3:K3"/>
    <mergeCell ref="B4:F4"/>
    <mergeCell ref="G4:H4"/>
    <mergeCell ref="I4:J4"/>
    <mergeCell ref="M4:N4"/>
    <mergeCell ref="B5:F5"/>
    <mergeCell ref="M5:N5"/>
    <mergeCell ref="M6:N6"/>
    <mergeCell ref="M7:N7"/>
    <mergeCell ref="M8:N8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22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94F5-DE14-4147-9753-B2FE482860B8}">
  <sheetPr codeName="工作表66"/>
  <dimension ref="A1:N19"/>
  <sheetViews>
    <sheetView view="pageBreakPreview" zoomScale="115" zoomScaleNormal="100" zoomScaleSheetLayoutView="115" workbookViewId="0">
      <selection activeCell="H9" sqref="H9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288</v>
      </c>
      <c r="M3" s="130" t="s">
        <v>318</v>
      </c>
      <c r="N3" s="131" t="s">
        <v>319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206" t="s">
        <v>27</v>
      </c>
      <c r="L4" s="206" t="s">
        <v>28</v>
      </c>
      <c r="M4" s="290" t="s">
        <v>32</v>
      </c>
      <c r="N4" s="291"/>
    </row>
    <row r="5" spans="1:14" ht="28.15" customHeight="1">
      <c r="A5" s="95">
        <v>1</v>
      </c>
      <c r="B5" s="322" t="s">
        <v>320</v>
      </c>
      <c r="C5" s="323"/>
      <c r="D5" s="323"/>
      <c r="E5" s="323"/>
      <c r="F5" s="324"/>
      <c r="G5" s="133" t="s">
        <v>321</v>
      </c>
      <c r="H5" s="134"/>
      <c r="I5" s="133" t="s">
        <v>323</v>
      </c>
      <c r="J5" s="132"/>
      <c r="K5" s="207">
        <v>1</v>
      </c>
      <c r="L5" s="207" t="s">
        <v>325</v>
      </c>
      <c r="M5" s="270"/>
      <c r="N5" s="271"/>
    </row>
    <row r="6" spans="1:14" ht="28.15" customHeight="1">
      <c r="A6" s="96">
        <v>2</v>
      </c>
      <c r="B6" s="325" t="s">
        <v>320</v>
      </c>
      <c r="C6" s="326"/>
      <c r="D6" s="326"/>
      <c r="E6" s="326"/>
      <c r="F6" s="327"/>
      <c r="G6" s="136" t="s">
        <v>322</v>
      </c>
      <c r="H6" s="137"/>
      <c r="I6" s="136" t="s">
        <v>324</v>
      </c>
      <c r="J6" s="61"/>
      <c r="K6" s="94">
        <v>3</v>
      </c>
      <c r="L6" s="94" t="s">
        <v>325</v>
      </c>
      <c r="M6" s="272"/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/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A1:N1"/>
    <mergeCell ref="A2:N2"/>
    <mergeCell ref="A3:B3"/>
    <mergeCell ref="C3:K3"/>
    <mergeCell ref="B4:F4"/>
    <mergeCell ref="G4:H4"/>
    <mergeCell ref="I4:J4"/>
    <mergeCell ref="M4:N4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4733-88D9-469C-9AF1-24A538F978A0}">
  <sheetPr codeName="工作表52"/>
  <dimension ref="A1:N19"/>
  <sheetViews>
    <sheetView view="pageBreakPreview" zoomScale="115" zoomScaleNormal="100" zoomScaleSheetLayoutView="115" workbookViewId="0">
      <selection activeCell="B5" sqref="B5:F5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288</v>
      </c>
      <c r="M3" s="130" t="s">
        <v>305</v>
      </c>
      <c r="N3" s="131" t="s">
        <v>306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202" t="s">
        <v>27</v>
      </c>
      <c r="L4" s="202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309</v>
      </c>
      <c r="C5" s="268"/>
      <c r="D5" s="268"/>
      <c r="E5" s="268"/>
      <c r="F5" s="269"/>
      <c r="G5" s="133" t="s">
        <v>307</v>
      </c>
      <c r="H5" s="134"/>
      <c r="I5" s="156" t="s">
        <v>308</v>
      </c>
      <c r="J5" s="132"/>
      <c r="K5" s="203">
        <v>1</v>
      </c>
      <c r="L5" s="203" t="s">
        <v>55</v>
      </c>
      <c r="M5" s="270">
        <v>2625</v>
      </c>
      <c r="N5" s="271"/>
    </row>
    <row r="6" spans="1:14" ht="28.15" customHeight="1">
      <c r="A6" s="96"/>
      <c r="B6" s="276"/>
      <c r="C6" s="277"/>
      <c r="D6" s="277"/>
      <c r="E6" s="277"/>
      <c r="F6" s="278"/>
      <c r="G6" s="136"/>
      <c r="H6" s="137"/>
      <c r="I6" s="136"/>
      <c r="J6" s="61"/>
      <c r="K6" s="94"/>
      <c r="L6" s="94"/>
      <c r="M6" s="272"/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2625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2267-6C9D-40A2-99CB-0B3DA2DA809C}">
  <sheetPr codeName="工作表67"/>
  <dimension ref="A1:N19"/>
  <sheetViews>
    <sheetView view="pageBreakPreview" zoomScale="115" zoomScaleNormal="100" zoomScaleSheetLayoutView="115" workbookViewId="0">
      <selection activeCell="D10" sqref="D10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288</v>
      </c>
      <c r="M3" s="130" t="s">
        <v>350</v>
      </c>
      <c r="N3" s="131" t="s">
        <v>159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214" t="s">
        <v>27</v>
      </c>
      <c r="L4" s="214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351</v>
      </c>
      <c r="C5" s="268"/>
      <c r="D5" s="268"/>
      <c r="E5" s="268"/>
      <c r="F5" s="269"/>
      <c r="G5" s="133"/>
      <c r="H5" s="134"/>
      <c r="I5" s="156" t="s">
        <v>248</v>
      </c>
      <c r="J5" s="132"/>
      <c r="K5" s="215">
        <v>2</v>
      </c>
      <c r="L5" s="215" t="s">
        <v>125</v>
      </c>
      <c r="M5" s="270">
        <v>120</v>
      </c>
      <c r="N5" s="271"/>
    </row>
    <row r="6" spans="1:14" ht="28.15" customHeight="1">
      <c r="A6" s="96">
        <v>2</v>
      </c>
      <c r="B6" s="276" t="s">
        <v>352</v>
      </c>
      <c r="C6" s="277"/>
      <c r="D6" s="277"/>
      <c r="E6" s="277"/>
      <c r="F6" s="278"/>
      <c r="G6" s="136"/>
      <c r="H6" s="137"/>
      <c r="I6" s="157" t="s">
        <v>248</v>
      </c>
      <c r="J6" s="61"/>
      <c r="K6" s="94">
        <v>1</v>
      </c>
      <c r="L6" s="94" t="s">
        <v>47</v>
      </c>
      <c r="M6" s="272">
        <v>115</v>
      </c>
      <c r="N6" s="273"/>
    </row>
    <row r="7" spans="1:14" ht="28.15" customHeight="1">
      <c r="A7" s="96">
        <v>3</v>
      </c>
      <c r="B7" s="312" t="s">
        <v>353</v>
      </c>
      <c r="C7" s="277"/>
      <c r="D7" s="277"/>
      <c r="E7" s="277"/>
      <c r="F7" s="278"/>
      <c r="G7" s="136" t="s">
        <v>355</v>
      </c>
      <c r="H7" s="137"/>
      <c r="I7" s="157" t="s">
        <v>354</v>
      </c>
      <c r="J7" s="61"/>
      <c r="K7" s="94">
        <v>2</v>
      </c>
      <c r="L7" s="94" t="s">
        <v>47</v>
      </c>
      <c r="M7" s="274">
        <v>700</v>
      </c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935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A1:N1"/>
    <mergeCell ref="A2:N2"/>
    <mergeCell ref="A3:B3"/>
    <mergeCell ref="C3:K3"/>
    <mergeCell ref="B4:F4"/>
    <mergeCell ref="G4:H4"/>
    <mergeCell ref="I4:J4"/>
    <mergeCell ref="M4:N4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C085-1D23-46F1-A524-5095A5977843}">
  <sheetPr codeName="工作表60"/>
  <dimension ref="A1:N19"/>
  <sheetViews>
    <sheetView view="pageBreakPreview" zoomScale="115" zoomScaleNormal="100" zoomScaleSheetLayoutView="115" workbookViewId="0">
      <selection activeCell="B5" sqref="B5:F5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288</v>
      </c>
      <c r="M3" s="130" t="s">
        <v>305</v>
      </c>
      <c r="N3" s="131" t="s">
        <v>316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204" t="s">
        <v>27</v>
      </c>
      <c r="L4" s="204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317</v>
      </c>
      <c r="C5" s="268"/>
      <c r="D5" s="268"/>
      <c r="E5" s="268"/>
      <c r="F5" s="269"/>
      <c r="G5" s="133"/>
      <c r="H5" s="134"/>
      <c r="I5" s="156"/>
      <c r="J5" s="132"/>
      <c r="K5" s="205">
        <v>1</v>
      </c>
      <c r="L5" s="205" t="s">
        <v>55</v>
      </c>
      <c r="M5" s="270">
        <v>105000</v>
      </c>
      <c r="N5" s="271"/>
    </row>
    <row r="6" spans="1:14" ht="28.15" customHeight="1">
      <c r="A6" s="96"/>
      <c r="B6" s="276"/>
      <c r="C6" s="277"/>
      <c r="D6" s="277"/>
      <c r="E6" s="277"/>
      <c r="F6" s="278"/>
      <c r="G6" s="136"/>
      <c r="H6" s="137"/>
      <c r="I6" s="136"/>
      <c r="J6" s="61"/>
      <c r="K6" s="94"/>
      <c r="L6" s="94"/>
      <c r="M6" s="272"/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105000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A1:N1"/>
    <mergeCell ref="A2:N2"/>
    <mergeCell ref="A3:B3"/>
    <mergeCell ref="C3:K3"/>
    <mergeCell ref="B4:F4"/>
    <mergeCell ref="G4:H4"/>
    <mergeCell ref="I4:J4"/>
    <mergeCell ref="M4:N4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4C6D-9777-458D-9C6C-B4097794AE57}">
  <sheetPr codeName="工作表53"/>
  <dimension ref="A1:N19"/>
  <sheetViews>
    <sheetView view="pageBreakPreview" zoomScale="115" zoomScaleNormal="100" zoomScaleSheetLayoutView="115" workbookViewId="0">
      <selection activeCell="B5" sqref="B5:F5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288</v>
      </c>
      <c r="M3" s="130" t="s">
        <v>305</v>
      </c>
      <c r="N3" s="131" t="s">
        <v>182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202" t="s">
        <v>27</v>
      </c>
      <c r="L4" s="202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311</v>
      </c>
      <c r="C5" s="268"/>
      <c r="D5" s="268"/>
      <c r="E5" s="268"/>
      <c r="F5" s="269"/>
      <c r="G5" s="133" t="s">
        <v>312</v>
      </c>
      <c r="H5" s="134"/>
      <c r="I5" s="156" t="s">
        <v>157</v>
      </c>
      <c r="J5" s="132"/>
      <c r="K5" s="203">
        <v>1</v>
      </c>
      <c r="L5" s="203" t="s">
        <v>55</v>
      </c>
      <c r="M5" s="270">
        <v>350</v>
      </c>
      <c r="N5" s="271"/>
    </row>
    <row r="6" spans="1:14" ht="28.15" customHeight="1">
      <c r="A6" s="96"/>
      <c r="B6" s="276"/>
      <c r="C6" s="277"/>
      <c r="D6" s="277"/>
      <c r="E6" s="277"/>
      <c r="F6" s="278"/>
      <c r="G6" s="136"/>
      <c r="H6" s="137"/>
      <c r="I6" s="136"/>
      <c r="J6" s="61"/>
      <c r="K6" s="94"/>
      <c r="L6" s="94"/>
      <c r="M6" s="272"/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350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0E01-A0CA-4355-AA46-BA04784D51A9}">
  <sheetPr codeName="工作表54"/>
  <dimension ref="A1:N19"/>
  <sheetViews>
    <sheetView view="pageBreakPreview" zoomScale="115" zoomScaleNormal="100" zoomScaleSheetLayoutView="115" workbookViewId="0">
      <selection activeCell="H6" sqref="H6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288</v>
      </c>
      <c r="M3" s="130" t="s">
        <v>289</v>
      </c>
      <c r="N3" s="131" t="s">
        <v>313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202" t="s">
        <v>27</v>
      </c>
      <c r="L4" s="202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274</v>
      </c>
      <c r="C5" s="268"/>
      <c r="D5" s="268"/>
      <c r="E5" s="268"/>
      <c r="F5" s="269"/>
      <c r="G5" s="133" t="s">
        <v>275</v>
      </c>
      <c r="H5" s="134"/>
      <c r="I5" s="330" t="s">
        <v>293</v>
      </c>
      <c r="J5" s="331"/>
      <c r="K5" s="203">
        <v>2</v>
      </c>
      <c r="L5" s="203" t="s">
        <v>277</v>
      </c>
      <c r="M5" s="270">
        <v>400</v>
      </c>
      <c r="N5" s="271"/>
    </row>
    <row r="6" spans="1:14" ht="28.15" customHeight="1">
      <c r="A6" s="96">
        <v>2</v>
      </c>
      <c r="B6" s="276"/>
      <c r="C6" s="277"/>
      <c r="D6" s="277"/>
      <c r="E6" s="277"/>
      <c r="F6" s="278"/>
      <c r="G6" s="136"/>
      <c r="H6" s="137"/>
      <c r="I6" s="328"/>
      <c r="J6" s="329"/>
      <c r="K6" s="94"/>
      <c r="L6" s="94"/>
      <c r="M6" s="272"/>
      <c r="N6" s="273"/>
    </row>
    <row r="7" spans="1:14" ht="28.15" customHeight="1">
      <c r="A7" s="96">
        <v>3</v>
      </c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>
        <v>4</v>
      </c>
      <c r="B8" s="279"/>
      <c r="C8" s="280"/>
      <c r="D8" s="280"/>
      <c r="E8" s="280"/>
      <c r="F8" s="281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>
        <v>5</v>
      </c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400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32">
    <mergeCell ref="A14:B16"/>
    <mergeCell ref="A17:N17"/>
    <mergeCell ref="I5:J5"/>
    <mergeCell ref="A12:N12"/>
    <mergeCell ref="A13:B13"/>
    <mergeCell ref="C13:D13"/>
    <mergeCell ref="E13:F13"/>
    <mergeCell ref="G13:H13"/>
    <mergeCell ref="I13:J13"/>
    <mergeCell ref="K13:L13"/>
    <mergeCell ref="M13:N13"/>
    <mergeCell ref="B8:F8"/>
    <mergeCell ref="M8:N8"/>
    <mergeCell ref="M9:N9"/>
    <mergeCell ref="M10:N10"/>
    <mergeCell ref="B11:K11"/>
    <mergeCell ref="M11:N11"/>
    <mergeCell ref="B5:F5"/>
    <mergeCell ref="M5:N5"/>
    <mergeCell ref="B6:F6"/>
    <mergeCell ref="I6:J6"/>
    <mergeCell ref="M6:N6"/>
    <mergeCell ref="B7:F7"/>
    <mergeCell ref="M7:N7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AB4D-6D52-4078-B1F7-B9F99D847AF7}">
  <sheetPr codeName="工作表55"/>
  <dimension ref="A1:N19"/>
  <sheetViews>
    <sheetView view="pageBreakPreview" zoomScale="115" zoomScaleNormal="100" zoomScaleSheetLayoutView="115" workbookViewId="0">
      <selection activeCell="M7" sqref="M7:N7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288</v>
      </c>
      <c r="M3" s="130" t="s">
        <v>289</v>
      </c>
      <c r="N3" s="131" t="s">
        <v>260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202" t="s">
        <v>27</v>
      </c>
      <c r="L4" s="202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314</v>
      </c>
      <c r="C5" s="268"/>
      <c r="D5" s="268"/>
      <c r="E5" s="268"/>
      <c r="F5" s="269"/>
      <c r="G5" s="133" t="s">
        <v>291</v>
      </c>
      <c r="H5" s="134"/>
      <c r="I5" s="330" t="s">
        <v>315</v>
      </c>
      <c r="J5" s="331"/>
      <c r="K5" s="203">
        <v>2</v>
      </c>
      <c r="L5" s="203" t="s">
        <v>47</v>
      </c>
      <c r="M5" s="270">
        <v>860</v>
      </c>
      <c r="N5" s="271"/>
    </row>
    <row r="6" spans="1:14" ht="28.15" customHeight="1">
      <c r="A6" s="96">
        <v>2</v>
      </c>
      <c r="B6" s="276"/>
      <c r="C6" s="277"/>
      <c r="D6" s="277"/>
      <c r="E6" s="277"/>
      <c r="F6" s="278"/>
      <c r="G6" s="136"/>
      <c r="H6" s="137"/>
      <c r="I6" s="328"/>
      <c r="J6" s="329"/>
      <c r="K6" s="94"/>
      <c r="L6" s="94"/>
      <c r="M6" s="272"/>
      <c r="N6" s="273"/>
    </row>
    <row r="7" spans="1:14" ht="28.15" customHeight="1">
      <c r="A7" s="96">
        <v>3</v>
      </c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>
        <v>4</v>
      </c>
      <c r="B8" s="279"/>
      <c r="C8" s="280"/>
      <c r="D8" s="280"/>
      <c r="E8" s="280"/>
      <c r="F8" s="281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>
        <v>5</v>
      </c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860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32">
    <mergeCell ref="A14:B16"/>
    <mergeCell ref="A17:N17"/>
    <mergeCell ref="B11:K11"/>
    <mergeCell ref="M11:N11"/>
    <mergeCell ref="A12:N12"/>
    <mergeCell ref="A13:B13"/>
    <mergeCell ref="C13:D13"/>
    <mergeCell ref="E13:F13"/>
    <mergeCell ref="G13:H13"/>
    <mergeCell ref="I13:J13"/>
    <mergeCell ref="K13:L13"/>
    <mergeCell ref="M13:N13"/>
    <mergeCell ref="M10:N10"/>
    <mergeCell ref="B5:F5"/>
    <mergeCell ref="I5:J5"/>
    <mergeCell ref="M5:N5"/>
    <mergeCell ref="B6:F6"/>
    <mergeCell ref="I6:J6"/>
    <mergeCell ref="M6:N6"/>
    <mergeCell ref="B7:F7"/>
    <mergeCell ref="M7:N7"/>
    <mergeCell ref="B8:F8"/>
    <mergeCell ref="M8:N8"/>
    <mergeCell ref="M9:N9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8A646-6E4D-424B-A728-EFFFA87DC67F}">
  <sheetPr codeName="工作表49"/>
  <dimension ref="A1:N19"/>
  <sheetViews>
    <sheetView view="pageBreakPreview" zoomScale="115" zoomScaleNormal="100" zoomScaleSheetLayoutView="115" workbookViewId="0">
      <selection activeCell="B6" sqref="B6:F6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266</v>
      </c>
      <c r="N3" s="131" t="s">
        <v>267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96" t="s">
        <v>27</v>
      </c>
      <c r="L4" s="196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75</v>
      </c>
      <c r="C5" s="268"/>
      <c r="D5" s="268"/>
      <c r="E5" s="268"/>
      <c r="F5" s="269"/>
      <c r="G5" s="133" t="s">
        <v>272</v>
      </c>
      <c r="H5" s="134"/>
      <c r="I5" s="156" t="s">
        <v>273</v>
      </c>
      <c r="J5" s="132"/>
      <c r="K5" s="197">
        <v>9</v>
      </c>
      <c r="L5" s="197" t="s">
        <v>253</v>
      </c>
      <c r="M5" s="270">
        <v>748</v>
      </c>
      <c r="N5" s="271"/>
    </row>
    <row r="6" spans="1:14" ht="28.15" customHeight="1">
      <c r="A6" s="96">
        <v>2</v>
      </c>
      <c r="B6" s="276" t="s">
        <v>274</v>
      </c>
      <c r="C6" s="277"/>
      <c r="D6" s="277"/>
      <c r="E6" s="277"/>
      <c r="F6" s="278"/>
      <c r="G6" s="136" t="s">
        <v>275</v>
      </c>
      <c r="H6" s="137"/>
      <c r="I6" s="328" t="s">
        <v>276</v>
      </c>
      <c r="J6" s="329"/>
      <c r="K6" s="94">
        <v>1</v>
      </c>
      <c r="L6" s="94" t="s">
        <v>277</v>
      </c>
      <c r="M6" s="272">
        <v>200</v>
      </c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948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30">
    <mergeCell ref="M13:N13"/>
    <mergeCell ref="A14:B16"/>
    <mergeCell ref="A17:N17"/>
    <mergeCell ref="I6:J6"/>
    <mergeCell ref="A13:B13"/>
    <mergeCell ref="C13:D13"/>
    <mergeCell ref="E13:F13"/>
    <mergeCell ref="G13:H13"/>
    <mergeCell ref="I13:J13"/>
    <mergeCell ref="K13:L13"/>
    <mergeCell ref="M8:N8"/>
    <mergeCell ref="M9:N9"/>
    <mergeCell ref="M10:N10"/>
    <mergeCell ref="B11:K11"/>
    <mergeCell ref="M11:N11"/>
    <mergeCell ref="A12:N12"/>
    <mergeCell ref="B5:F5"/>
    <mergeCell ref="M5:N5"/>
    <mergeCell ref="B6:F6"/>
    <mergeCell ref="M6:N6"/>
    <mergeCell ref="B7:F7"/>
    <mergeCell ref="M7:N7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94F2-D253-4DFF-AA3B-AE66CB2CF6B1}">
  <sheetPr codeName="工作表56"/>
  <dimension ref="A1:N19"/>
  <sheetViews>
    <sheetView view="pageBreakPreview" zoomScale="115" zoomScaleNormal="100" zoomScaleSheetLayoutView="115" workbookViewId="0">
      <selection activeCell="Q11" sqref="Q11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288</v>
      </c>
      <c r="M3" s="130" t="s">
        <v>289</v>
      </c>
      <c r="N3" s="131" t="s">
        <v>233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200" t="s">
        <v>27</v>
      </c>
      <c r="L4" s="200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290</v>
      </c>
      <c r="C5" s="268"/>
      <c r="D5" s="268"/>
      <c r="E5" s="268"/>
      <c r="F5" s="269"/>
      <c r="G5" s="133" t="s">
        <v>291</v>
      </c>
      <c r="H5" s="134"/>
      <c r="I5" s="156" t="s">
        <v>292</v>
      </c>
      <c r="J5" s="132"/>
      <c r="K5" s="201">
        <v>2</v>
      </c>
      <c r="L5" s="201" t="s">
        <v>47</v>
      </c>
      <c r="M5" s="270">
        <v>860</v>
      </c>
      <c r="N5" s="271"/>
    </row>
    <row r="6" spans="1:14" ht="28.15" customHeight="1">
      <c r="A6" s="96">
        <v>2</v>
      </c>
      <c r="B6" s="276" t="s">
        <v>274</v>
      </c>
      <c r="C6" s="277"/>
      <c r="D6" s="277"/>
      <c r="E6" s="277"/>
      <c r="F6" s="278"/>
      <c r="G6" s="136" t="s">
        <v>275</v>
      </c>
      <c r="H6" s="137"/>
      <c r="I6" s="328" t="s">
        <v>293</v>
      </c>
      <c r="J6" s="329"/>
      <c r="K6" s="94">
        <v>2</v>
      </c>
      <c r="L6" s="94" t="s">
        <v>277</v>
      </c>
      <c r="M6" s="272">
        <v>400</v>
      </c>
      <c r="N6" s="273"/>
    </row>
    <row r="7" spans="1:14" ht="28.15" customHeight="1">
      <c r="A7" s="96">
        <v>3</v>
      </c>
      <c r="B7" s="279" t="s">
        <v>294</v>
      </c>
      <c r="C7" s="280"/>
      <c r="D7" s="280"/>
      <c r="E7" s="280"/>
      <c r="F7" s="281"/>
      <c r="G7" s="136" t="s">
        <v>296</v>
      </c>
      <c r="H7" s="137"/>
      <c r="I7" s="136" t="s">
        <v>295</v>
      </c>
      <c r="J7" s="61"/>
      <c r="K7" s="94">
        <v>1</v>
      </c>
      <c r="L7" s="94" t="s">
        <v>297</v>
      </c>
      <c r="M7" s="274">
        <v>785</v>
      </c>
      <c r="N7" s="275"/>
    </row>
    <row r="8" spans="1:14" ht="28.15" customHeight="1">
      <c r="A8" s="96">
        <v>4</v>
      </c>
      <c r="B8" s="279" t="s">
        <v>298</v>
      </c>
      <c r="C8" s="280"/>
      <c r="D8" s="280"/>
      <c r="E8" s="280"/>
      <c r="F8" s="281"/>
      <c r="G8" s="53"/>
      <c r="H8" s="137"/>
      <c r="I8" s="53" t="s">
        <v>295</v>
      </c>
      <c r="J8" s="61"/>
      <c r="K8" s="94">
        <v>1</v>
      </c>
      <c r="L8" s="94" t="s">
        <v>47</v>
      </c>
      <c r="M8" s="274">
        <v>148</v>
      </c>
      <c r="N8" s="275"/>
    </row>
    <row r="9" spans="1:14" ht="28.15" customHeight="1">
      <c r="A9" s="96">
        <v>5</v>
      </c>
      <c r="B9" s="56" t="s">
        <v>299</v>
      </c>
      <c r="C9" s="56"/>
      <c r="D9" s="56"/>
      <c r="E9" s="53"/>
      <c r="F9" s="62"/>
      <c r="G9" s="53" t="s">
        <v>300</v>
      </c>
      <c r="H9" s="62"/>
      <c r="I9" s="53" t="s">
        <v>295</v>
      </c>
      <c r="J9" s="61"/>
      <c r="K9" s="94">
        <v>3</v>
      </c>
      <c r="L9" s="94" t="s">
        <v>253</v>
      </c>
      <c r="M9" s="274">
        <v>180</v>
      </c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948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31">
    <mergeCell ref="B7:F7"/>
    <mergeCell ref="M7:N7"/>
    <mergeCell ref="A1:N1"/>
    <mergeCell ref="A2:N2"/>
    <mergeCell ref="A3:B3"/>
    <mergeCell ref="C3:K3"/>
    <mergeCell ref="B4:F4"/>
    <mergeCell ref="G4:H4"/>
    <mergeCell ref="I4:J4"/>
    <mergeCell ref="M4:N4"/>
    <mergeCell ref="B5:F5"/>
    <mergeCell ref="M5:N5"/>
    <mergeCell ref="B6:F6"/>
    <mergeCell ref="I6:J6"/>
    <mergeCell ref="M6:N6"/>
    <mergeCell ref="M13:N13"/>
    <mergeCell ref="A14:B16"/>
    <mergeCell ref="A17:N17"/>
    <mergeCell ref="B8:F8"/>
    <mergeCell ref="A13:B13"/>
    <mergeCell ref="C13:D13"/>
    <mergeCell ref="E13:F13"/>
    <mergeCell ref="G13:H13"/>
    <mergeCell ref="I13:J13"/>
    <mergeCell ref="K13:L13"/>
    <mergeCell ref="M8:N8"/>
    <mergeCell ref="M9:N9"/>
    <mergeCell ref="M10:N10"/>
    <mergeCell ref="B11:K11"/>
    <mergeCell ref="M11:N11"/>
    <mergeCell ref="A12:N12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8472-303B-49AC-9793-57D12E732568}">
  <sheetPr codeName="工作表51"/>
  <dimension ref="A1:N19"/>
  <sheetViews>
    <sheetView view="pageBreakPreview" zoomScale="115" zoomScaleNormal="100" zoomScaleSheetLayoutView="115" workbookViewId="0">
      <selection activeCell="B5" sqref="B5:F5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266</v>
      </c>
      <c r="N3" s="131" t="s">
        <v>267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96" t="s">
        <v>27</v>
      </c>
      <c r="L4" s="196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282</v>
      </c>
      <c r="C5" s="268"/>
      <c r="D5" s="268"/>
      <c r="E5" s="268"/>
      <c r="F5" s="269"/>
      <c r="G5" s="133" t="s">
        <v>283</v>
      </c>
      <c r="H5" s="134"/>
      <c r="I5" s="156" t="s">
        <v>284</v>
      </c>
      <c r="J5" s="132"/>
      <c r="K5" s="197">
        <v>1</v>
      </c>
      <c r="L5" s="197" t="s">
        <v>125</v>
      </c>
      <c r="M5" s="270">
        <v>170</v>
      </c>
      <c r="N5" s="271"/>
    </row>
    <row r="6" spans="1:14" ht="28.15" customHeight="1">
      <c r="A6" s="96">
        <v>2</v>
      </c>
      <c r="B6" s="276"/>
      <c r="C6" s="277"/>
      <c r="D6" s="277"/>
      <c r="E6" s="277"/>
      <c r="F6" s="278"/>
      <c r="G6" s="136"/>
      <c r="H6" s="137"/>
      <c r="I6" s="328"/>
      <c r="J6" s="329"/>
      <c r="K6" s="94"/>
      <c r="L6" s="94"/>
      <c r="M6" s="272"/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170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30"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  <mergeCell ref="A12:N12"/>
    <mergeCell ref="B5:F5"/>
    <mergeCell ref="M5:N5"/>
    <mergeCell ref="B6:F6"/>
    <mergeCell ref="I6:J6"/>
    <mergeCell ref="M6:N6"/>
    <mergeCell ref="B7:F7"/>
    <mergeCell ref="M7:N7"/>
    <mergeCell ref="M8:N8"/>
    <mergeCell ref="M9:N9"/>
    <mergeCell ref="M10:N10"/>
    <mergeCell ref="B11:K11"/>
    <mergeCell ref="M11:N11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D88D-D622-4B70-8442-1BE6FAC2AA3B}">
  <sheetPr codeName="工作表50"/>
  <dimension ref="A1:N19"/>
  <sheetViews>
    <sheetView view="pageBreakPreview" zoomScale="115" zoomScaleNormal="100" zoomScaleSheetLayoutView="115" workbookViewId="0">
      <selection activeCell="J20" sqref="J20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266</v>
      </c>
      <c r="N3" s="131" t="s">
        <v>267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96" t="s">
        <v>27</v>
      </c>
      <c r="L4" s="196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278</v>
      </c>
      <c r="C5" s="268"/>
      <c r="D5" s="268"/>
      <c r="E5" s="268"/>
      <c r="F5" s="269"/>
      <c r="G5" s="133" t="s">
        <v>281</v>
      </c>
      <c r="H5" s="134"/>
      <c r="I5" s="156" t="s">
        <v>280</v>
      </c>
      <c r="J5" s="132"/>
      <c r="K5" s="197">
        <v>5</v>
      </c>
      <c r="L5" s="197" t="s">
        <v>161</v>
      </c>
      <c r="M5" s="270">
        <v>195</v>
      </c>
      <c r="N5" s="271"/>
    </row>
    <row r="6" spans="1:14" ht="28.15" customHeight="1">
      <c r="A6" s="96">
        <v>2</v>
      </c>
      <c r="B6" s="276" t="s">
        <v>279</v>
      </c>
      <c r="C6" s="277"/>
      <c r="D6" s="277"/>
      <c r="E6" s="277"/>
      <c r="F6" s="278"/>
      <c r="G6" s="136"/>
      <c r="H6" s="137"/>
      <c r="I6" s="332" t="s">
        <v>280</v>
      </c>
      <c r="J6" s="333"/>
      <c r="K6" s="94">
        <v>1</v>
      </c>
      <c r="L6" s="94" t="s">
        <v>125</v>
      </c>
      <c r="M6" s="272">
        <v>19</v>
      </c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214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30"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  <mergeCell ref="A12:N12"/>
    <mergeCell ref="B5:F5"/>
    <mergeCell ref="M5:N5"/>
    <mergeCell ref="B6:F6"/>
    <mergeCell ref="I6:J6"/>
    <mergeCell ref="M6:N6"/>
    <mergeCell ref="B7:F7"/>
    <mergeCell ref="M7:N7"/>
    <mergeCell ref="M8:N8"/>
    <mergeCell ref="M9:N9"/>
    <mergeCell ref="M10:N10"/>
    <mergeCell ref="B11:K11"/>
    <mergeCell ref="M11:N11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5E6B-5C13-4494-8E57-A44C0080177C}">
  <sheetPr codeName="工作表48"/>
  <dimension ref="A1:N19"/>
  <sheetViews>
    <sheetView view="pageBreakPreview" zoomScale="115" zoomScaleNormal="100" zoomScaleSheetLayoutView="115" workbookViewId="0">
      <selection activeCell="N3" sqref="N3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266</v>
      </c>
      <c r="N3" s="131" t="s">
        <v>267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96" t="s">
        <v>27</v>
      </c>
      <c r="L4" s="196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268</v>
      </c>
      <c r="C5" s="268"/>
      <c r="D5" s="268"/>
      <c r="E5" s="268"/>
      <c r="F5" s="269"/>
      <c r="G5" s="133" t="s">
        <v>269</v>
      </c>
      <c r="H5" s="134"/>
      <c r="I5" s="156" t="s">
        <v>270</v>
      </c>
      <c r="J5" s="132"/>
      <c r="K5" s="197">
        <v>1</v>
      </c>
      <c r="L5" s="197" t="s">
        <v>47</v>
      </c>
      <c r="M5" s="270">
        <v>5670</v>
      </c>
      <c r="N5" s="271"/>
    </row>
    <row r="6" spans="1:14" ht="28.15" customHeight="1">
      <c r="A6" s="96">
        <v>2</v>
      </c>
      <c r="B6" s="276" t="s">
        <v>271</v>
      </c>
      <c r="C6" s="277"/>
      <c r="D6" s="277"/>
      <c r="E6" s="277"/>
      <c r="F6" s="278"/>
      <c r="G6" s="136" t="s">
        <v>258</v>
      </c>
      <c r="H6" s="137"/>
      <c r="I6" s="136" t="s">
        <v>256</v>
      </c>
      <c r="J6" s="61"/>
      <c r="K6" s="94">
        <v>1</v>
      </c>
      <c r="L6" s="94" t="s">
        <v>55</v>
      </c>
      <c r="M6" s="272"/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5670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ED1C-5AC3-4993-906D-C8E64A0510F9}">
  <sheetPr codeName="工作表57"/>
  <dimension ref="A1:N19"/>
  <sheetViews>
    <sheetView view="pageBreakPreview" zoomScale="115" zoomScaleNormal="100" zoomScaleSheetLayoutView="115" workbookViewId="0">
      <selection activeCell="I8" sqref="I8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288</v>
      </c>
      <c r="M3" s="130" t="s">
        <v>289</v>
      </c>
      <c r="N3" s="131" t="s">
        <v>233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200" t="s">
        <v>27</v>
      </c>
      <c r="L4" s="200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303</v>
      </c>
      <c r="C5" s="268"/>
      <c r="D5" s="268"/>
      <c r="E5" s="268"/>
      <c r="F5" s="269"/>
      <c r="G5" s="133" t="s">
        <v>301</v>
      </c>
      <c r="H5" s="134"/>
      <c r="I5" s="156" t="s">
        <v>302</v>
      </c>
      <c r="J5" s="132"/>
      <c r="K5" s="201">
        <v>1</v>
      </c>
      <c r="L5" s="201" t="s">
        <v>130</v>
      </c>
      <c r="M5" s="270">
        <v>4500</v>
      </c>
      <c r="N5" s="271"/>
    </row>
    <row r="6" spans="1:14" ht="28.15" customHeight="1">
      <c r="A6" s="96"/>
      <c r="B6" s="276"/>
      <c r="C6" s="277"/>
      <c r="D6" s="277"/>
      <c r="E6" s="277"/>
      <c r="F6" s="278"/>
      <c r="G6" s="136"/>
      <c r="H6" s="137"/>
      <c r="I6" s="136"/>
      <c r="J6" s="61"/>
      <c r="K6" s="94"/>
      <c r="L6" s="94"/>
      <c r="M6" s="272" t="s">
        <v>304</v>
      </c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4500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A1:N1"/>
    <mergeCell ref="A2:N2"/>
    <mergeCell ref="A3:B3"/>
    <mergeCell ref="C3:K3"/>
    <mergeCell ref="B4:F4"/>
    <mergeCell ref="G4:H4"/>
    <mergeCell ref="I4:J4"/>
    <mergeCell ref="M4:N4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C9DD0-6810-479F-9E1E-54BD4B761F97}">
  <sheetPr codeName="工作表58"/>
  <dimension ref="A1:N19"/>
  <sheetViews>
    <sheetView view="pageBreakPreview" zoomScale="115" zoomScaleNormal="100" zoomScaleSheetLayoutView="115" workbookViewId="0">
      <selection activeCell="A12" sqref="A12:N12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266</v>
      </c>
      <c r="N3" s="131" t="s">
        <v>285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98" t="s">
        <v>27</v>
      </c>
      <c r="L4" s="198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286</v>
      </c>
      <c r="C5" s="268"/>
      <c r="D5" s="268"/>
      <c r="E5" s="268"/>
      <c r="F5" s="269"/>
      <c r="G5" s="133"/>
      <c r="H5" s="134"/>
      <c r="I5" s="156" t="s">
        <v>287</v>
      </c>
      <c r="J5" s="132"/>
      <c r="K5" s="199">
        <v>1</v>
      </c>
      <c r="L5" s="199" t="s">
        <v>125</v>
      </c>
      <c r="M5" s="270">
        <v>129</v>
      </c>
      <c r="N5" s="271"/>
    </row>
    <row r="6" spans="1:14" ht="28.15" customHeight="1">
      <c r="A6" s="96">
        <v>2</v>
      </c>
      <c r="B6" s="276"/>
      <c r="C6" s="277"/>
      <c r="D6" s="277"/>
      <c r="E6" s="277"/>
      <c r="F6" s="278"/>
      <c r="G6" s="136"/>
      <c r="H6" s="137"/>
      <c r="I6" s="136"/>
      <c r="J6" s="61"/>
      <c r="K6" s="94"/>
      <c r="L6" s="94"/>
      <c r="M6" s="272"/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129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8EC3-2C84-4520-A207-C7E056C0994A}">
  <sheetPr codeName="工作表47"/>
  <dimension ref="A1:N19"/>
  <sheetViews>
    <sheetView view="pageBreakPreview" zoomScale="115" zoomScaleNormal="100" zoomScaleSheetLayoutView="115" workbookViewId="0">
      <selection activeCell="M9" sqref="M9:N9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266</v>
      </c>
      <c r="N3" s="131" t="s">
        <v>267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96" t="s">
        <v>27</v>
      </c>
      <c r="L4" s="196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264</v>
      </c>
      <c r="C5" s="268"/>
      <c r="D5" s="268"/>
      <c r="E5" s="268"/>
      <c r="F5" s="269"/>
      <c r="G5" s="133" t="s">
        <v>263</v>
      </c>
      <c r="H5" s="134"/>
      <c r="I5" s="156" t="s">
        <v>265</v>
      </c>
      <c r="J5" s="132"/>
      <c r="K5" s="197">
        <v>1</v>
      </c>
      <c r="L5" s="197" t="s">
        <v>130</v>
      </c>
      <c r="M5" s="270">
        <v>25200</v>
      </c>
      <c r="N5" s="271"/>
    </row>
    <row r="6" spans="1:14" ht="28.15" customHeight="1">
      <c r="A6" s="96"/>
      <c r="B6" s="276"/>
      <c r="C6" s="277"/>
      <c r="D6" s="277"/>
      <c r="E6" s="277"/>
      <c r="F6" s="278"/>
      <c r="G6" s="136"/>
      <c r="H6" s="137"/>
      <c r="I6" s="136"/>
      <c r="J6" s="61"/>
      <c r="K6" s="94"/>
      <c r="L6" s="94"/>
      <c r="M6" s="272"/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25200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FA63B-0F9F-49B1-B34B-2FFC11FE12E9}">
  <sheetPr codeName="工作表45"/>
  <dimension ref="A1:N19"/>
  <sheetViews>
    <sheetView view="pageBreakPreview" zoomScale="115" zoomScaleNormal="100" zoomScaleSheetLayoutView="115" workbookViewId="0">
      <selection activeCell="R8" sqref="R8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254</v>
      </c>
      <c r="N3" s="131" t="s">
        <v>255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92" t="s">
        <v>27</v>
      </c>
      <c r="L4" s="192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251</v>
      </c>
      <c r="C5" s="268"/>
      <c r="D5" s="268"/>
      <c r="E5" s="268"/>
      <c r="F5" s="269"/>
      <c r="G5" s="133" t="s">
        <v>252</v>
      </c>
      <c r="H5" s="134"/>
      <c r="I5" s="156" t="s">
        <v>250</v>
      </c>
      <c r="J5" s="132"/>
      <c r="K5" s="193">
        <v>1</v>
      </c>
      <c r="L5" s="193" t="s">
        <v>253</v>
      </c>
      <c r="M5" s="270">
        <v>920</v>
      </c>
      <c r="N5" s="271"/>
    </row>
    <row r="6" spans="1:14" ht="28.15" customHeight="1">
      <c r="A6" s="96">
        <v>2</v>
      </c>
      <c r="B6" s="276" t="s">
        <v>259</v>
      </c>
      <c r="C6" s="277"/>
      <c r="D6" s="277"/>
      <c r="E6" s="277"/>
      <c r="F6" s="278"/>
      <c r="G6" s="136" t="s">
        <v>258</v>
      </c>
      <c r="H6" s="137"/>
      <c r="I6" s="136" t="s">
        <v>256</v>
      </c>
      <c r="J6" s="61"/>
      <c r="K6" s="94">
        <v>2</v>
      </c>
      <c r="L6" s="94" t="s">
        <v>257</v>
      </c>
      <c r="M6" s="272">
        <v>4376</v>
      </c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5296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A1:N1"/>
    <mergeCell ref="A2:N2"/>
    <mergeCell ref="A3:B3"/>
    <mergeCell ref="C3:K3"/>
    <mergeCell ref="B4:F4"/>
    <mergeCell ref="G4:H4"/>
    <mergeCell ref="I4:J4"/>
    <mergeCell ref="M4:N4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B5691-C755-48AD-B505-7B68148C946B}">
  <sheetPr codeName="工作表46"/>
  <dimension ref="A1:N19"/>
  <sheetViews>
    <sheetView view="pageBreakPreview" zoomScale="115" zoomScaleNormal="100" zoomScaleSheetLayoutView="115" workbookViewId="0">
      <selection activeCell="J7" sqref="J7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254</v>
      </c>
      <c r="N3" s="131" t="s">
        <v>260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94" t="s">
        <v>27</v>
      </c>
      <c r="L4" s="194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261</v>
      </c>
      <c r="C5" s="268"/>
      <c r="D5" s="268"/>
      <c r="E5" s="268"/>
      <c r="F5" s="269"/>
      <c r="G5" s="133"/>
      <c r="H5" s="134"/>
      <c r="I5" s="156" t="s">
        <v>262</v>
      </c>
      <c r="J5" s="132"/>
      <c r="K5" s="195">
        <v>4</v>
      </c>
      <c r="L5" s="195" t="s">
        <v>253</v>
      </c>
      <c r="M5" s="270">
        <v>272</v>
      </c>
      <c r="N5" s="271"/>
    </row>
    <row r="6" spans="1:14" ht="28.15" customHeight="1">
      <c r="A6" s="96">
        <v>2</v>
      </c>
      <c r="B6" s="276"/>
      <c r="C6" s="277"/>
      <c r="D6" s="277"/>
      <c r="E6" s="277"/>
      <c r="F6" s="278"/>
      <c r="G6" s="136"/>
      <c r="H6" s="137"/>
      <c r="I6" s="136"/>
      <c r="J6" s="61"/>
      <c r="K6" s="94"/>
      <c r="L6" s="94"/>
      <c r="M6" s="272"/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272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3DE4-0AE6-4A81-A109-50E5D0E92B41}">
  <sheetPr codeName="工作表44"/>
  <dimension ref="A1:N19"/>
  <sheetViews>
    <sheetView view="pageBreakPreview" zoomScale="115" zoomScaleNormal="100" zoomScaleSheetLayoutView="115" workbookViewId="0">
      <selection activeCell="I6" sqref="I6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246</v>
      </c>
      <c r="N3" s="131" t="s">
        <v>210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87" t="s">
        <v>27</v>
      </c>
      <c r="L4" s="187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249</v>
      </c>
      <c r="C5" s="268"/>
      <c r="D5" s="268"/>
      <c r="E5" s="268"/>
      <c r="F5" s="269"/>
      <c r="G5" s="133" t="s">
        <v>247</v>
      </c>
      <c r="H5" s="134"/>
      <c r="I5" s="184" t="s">
        <v>248</v>
      </c>
      <c r="J5" s="132"/>
      <c r="K5" s="188">
        <v>1</v>
      </c>
      <c r="L5" s="188" t="s">
        <v>47</v>
      </c>
      <c r="M5" s="270">
        <v>200</v>
      </c>
      <c r="N5" s="271"/>
    </row>
    <row r="6" spans="1:14" ht="28.15" customHeight="1">
      <c r="A6" s="96"/>
      <c r="B6" s="276"/>
      <c r="C6" s="277"/>
      <c r="D6" s="277"/>
      <c r="E6" s="277"/>
      <c r="F6" s="278"/>
      <c r="G6" s="136"/>
      <c r="H6" s="137"/>
      <c r="I6" s="136"/>
      <c r="J6" s="61"/>
      <c r="K6" s="94"/>
      <c r="L6" s="94"/>
      <c r="M6" s="272"/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f>SUM(M5:N10)</f>
        <v>200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A1:N1"/>
    <mergeCell ref="A2:N2"/>
    <mergeCell ref="A3:B3"/>
    <mergeCell ref="C3:K3"/>
    <mergeCell ref="B4:F4"/>
    <mergeCell ref="G4:H4"/>
    <mergeCell ref="I4:J4"/>
    <mergeCell ref="M4:N4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C260-75A2-477D-82AC-DD830C3B03CB}">
  <sheetPr codeName="工作表36"/>
  <dimension ref="A1:N19"/>
  <sheetViews>
    <sheetView view="pageBreakPreview" zoomScale="115" zoomScaleNormal="100" zoomScaleSheetLayoutView="115" workbookViewId="0">
      <selection activeCell="B5" sqref="B5:F5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226</v>
      </c>
      <c r="N3" s="131" t="s">
        <v>126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85" t="s">
        <v>27</v>
      </c>
      <c r="L4" s="185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244</v>
      </c>
      <c r="C5" s="268"/>
      <c r="D5" s="268"/>
      <c r="E5" s="268"/>
      <c r="F5" s="269"/>
      <c r="G5" s="133">
        <v>95</v>
      </c>
      <c r="H5" s="134"/>
      <c r="I5" s="189"/>
      <c r="J5" s="132"/>
      <c r="K5" s="186"/>
      <c r="L5" s="186"/>
      <c r="M5" s="270">
        <v>1484</v>
      </c>
      <c r="N5" s="271"/>
    </row>
    <row r="6" spans="1:14" ht="28.15" customHeight="1">
      <c r="A6" s="96">
        <v>2</v>
      </c>
      <c r="B6" s="276" t="s">
        <v>245</v>
      </c>
      <c r="C6" s="277"/>
      <c r="D6" s="277"/>
      <c r="E6" s="277"/>
      <c r="F6" s="278"/>
      <c r="G6" s="136"/>
      <c r="H6" s="137"/>
      <c r="I6" s="191"/>
      <c r="J6" s="61"/>
      <c r="K6" s="94"/>
      <c r="L6" s="94"/>
      <c r="M6" s="272">
        <v>50</v>
      </c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f>SUM(M5:N10)</f>
        <v>1534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83D3-9D47-4C3C-926F-E87172B58BC4}">
  <sheetPr codeName="工作表37"/>
  <dimension ref="A1:N19"/>
  <sheetViews>
    <sheetView view="pageBreakPreview" zoomScale="115" zoomScaleNormal="100" zoomScaleSheetLayoutView="115" workbookViewId="0">
      <selection activeCell="G5" sqref="G5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226</v>
      </c>
      <c r="N3" s="131" t="s">
        <v>126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85" t="s">
        <v>27</v>
      </c>
      <c r="L4" s="185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239</v>
      </c>
      <c r="C5" s="268"/>
      <c r="D5" s="268"/>
      <c r="E5" s="268"/>
      <c r="F5" s="269"/>
      <c r="G5" s="133" t="s">
        <v>240</v>
      </c>
      <c r="H5" s="134"/>
      <c r="I5" s="189" t="s">
        <v>241</v>
      </c>
      <c r="J5" s="132"/>
      <c r="K5" s="186">
        <v>2</v>
      </c>
      <c r="L5" s="186" t="s">
        <v>125</v>
      </c>
      <c r="M5" s="270">
        <f>2840*2</f>
        <v>5680</v>
      </c>
      <c r="N5" s="271"/>
    </row>
    <row r="6" spans="1:14" ht="28.15" customHeight="1">
      <c r="A6" s="96"/>
      <c r="B6" s="276"/>
      <c r="C6" s="277"/>
      <c r="D6" s="277"/>
      <c r="E6" s="277"/>
      <c r="F6" s="278"/>
      <c r="G6" s="136"/>
      <c r="H6" s="137"/>
      <c r="I6" s="190"/>
      <c r="J6" s="61"/>
      <c r="K6" s="94"/>
      <c r="L6" s="94"/>
      <c r="M6" s="272"/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f>SUM(M5:N10)</f>
        <v>5680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FC6C-04D7-4F9B-BE46-E28CA44FD0F0}">
  <sheetPr codeName="工作表38"/>
  <dimension ref="A1:N19"/>
  <sheetViews>
    <sheetView view="pageBreakPreview" zoomScale="115" zoomScaleNormal="100" zoomScaleSheetLayoutView="115" workbookViewId="0">
      <selection activeCell="K5" sqref="K5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226</v>
      </c>
      <c r="N3" s="131" t="s">
        <v>126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85" t="s">
        <v>27</v>
      </c>
      <c r="L4" s="185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242</v>
      </c>
      <c r="C5" s="268"/>
      <c r="D5" s="268"/>
      <c r="E5" s="268"/>
      <c r="F5" s="269"/>
      <c r="G5" s="133" t="s">
        <v>243</v>
      </c>
      <c r="H5" s="134"/>
      <c r="I5" s="189"/>
      <c r="J5" s="132"/>
      <c r="K5" s="186">
        <v>1</v>
      </c>
      <c r="L5" s="186" t="s">
        <v>125</v>
      </c>
      <c r="M5" s="270">
        <v>299</v>
      </c>
      <c r="N5" s="271"/>
    </row>
    <row r="6" spans="1:14" ht="28.15" customHeight="1">
      <c r="A6" s="96"/>
      <c r="B6" s="276"/>
      <c r="C6" s="277"/>
      <c r="D6" s="277"/>
      <c r="E6" s="277"/>
      <c r="F6" s="278"/>
      <c r="G6" s="136"/>
      <c r="H6" s="137"/>
      <c r="I6" s="190"/>
      <c r="J6" s="61"/>
      <c r="K6" s="94"/>
      <c r="L6" s="94"/>
      <c r="M6" s="272"/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f>SUM(M5:N10)</f>
        <v>299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F303-C0F8-4FF8-8625-167F3A4D8289}">
  <sheetPr codeName="工作表39"/>
  <dimension ref="A1:N19"/>
  <sheetViews>
    <sheetView view="pageBreakPreview" zoomScale="115" zoomScaleNormal="100" zoomScaleSheetLayoutView="115" workbookViewId="0">
      <selection activeCell="O12" sqref="O12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226</v>
      </c>
      <c r="N3" s="131" t="s">
        <v>126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85" t="s">
        <v>27</v>
      </c>
      <c r="L4" s="185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237</v>
      </c>
      <c r="C5" s="268"/>
      <c r="D5" s="268"/>
      <c r="E5" s="268"/>
      <c r="F5" s="269"/>
      <c r="G5" s="133" t="s">
        <v>238</v>
      </c>
      <c r="H5" s="134"/>
      <c r="I5" s="184"/>
      <c r="J5" s="132"/>
      <c r="K5" s="186">
        <v>1</v>
      </c>
      <c r="L5" s="186" t="s">
        <v>47</v>
      </c>
      <c r="M5" s="270">
        <v>312</v>
      </c>
      <c r="N5" s="271"/>
    </row>
    <row r="6" spans="1:14" ht="28.15" customHeight="1">
      <c r="A6" s="96"/>
      <c r="B6" s="276"/>
      <c r="C6" s="277"/>
      <c r="D6" s="277"/>
      <c r="E6" s="277"/>
      <c r="F6" s="278"/>
      <c r="G6" s="136"/>
      <c r="H6" s="137"/>
      <c r="I6" s="183"/>
      <c r="J6" s="61"/>
      <c r="K6" s="94"/>
      <c r="L6" s="94"/>
      <c r="M6" s="272"/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f>SUM(M5:N10)</f>
        <v>312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B841-A747-44A5-ABD5-11E032A92C95}">
  <sheetPr codeName="工作表40"/>
  <dimension ref="A1:N19"/>
  <sheetViews>
    <sheetView view="pageBreakPreview" zoomScale="115" zoomScaleNormal="100" zoomScaleSheetLayoutView="115" workbookViewId="0">
      <selection activeCell="N3" sqref="N3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226</v>
      </c>
      <c r="N3" s="131" t="s">
        <v>210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79" t="s">
        <v>27</v>
      </c>
      <c r="L4" s="179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227</v>
      </c>
      <c r="C5" s="268"/>
      <c r="D5" s="268"/>
      <c r="E5" s="268"/>
      <c r="F5" s="269"/>
      <c r="G5" s="133" t="s">
        <v>228</v>
      </c>
      <c r="H5" s="134"/>
      <c r="I5" s="184" t="s">
        <v>229</v>
      </c>
      <c r="J5" s="132"/>
      <c r="K5" s="180">
        <v>1</v>
      </c>
      <c r="L5" s="180" t="s">
        <v>47</v>
      </c>
      <c r="M5" s="270">
        <v>350</v>
      </c>
      <c r="N5" s="271"/>
    </row>
    <row r="6" spans="1:14" ht="28.15" customHeight="1">
      <c r="A6" s="96">
        <v>2</v>
      </c>
      <c r="B6" s="276" t="s">
        <v>232</v>
      </c>
      <c r="C6" s="277"/>
      <c r="D6" s="277"/>
      <c r="E6" s="277"/>
      <c r="F6" s="278"/>
      <c r="G6" s="136" t="s">
        <v>230</v>
      </c>
      <c r="H6" s="137"/>
      <c r="I6" s="183" t="s">
        <v>229</v>
      </c>
      <c r="J6" s="61"/>
      <c r="K6" s="94">
        <v>1</v>
      </c>
      <c r="L6" s="94" t="s">
        <v>231</v>
      </c>
      <c r="M6" s="272">
        <v>420</v>
      </c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f>SUM(M5:N10)</f>
        <v>770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508D-874A-44A9-B1C3-35B7E9ED4079}">
  <sheetPr codeName="工作表41"/>
  <dimension ref="A1:N19"/>
  <sheetViews>
    <sheetView view="pageBreakPreview" zoomScale="115" zoomScaleNormal="100" zoomScaleSheetLayoutView="115" workbookViewId="0">
      <selection activeCell="B11" sqref="B11:K11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226</v>
      </c>
      <c r="N3" s="131" t="s">
        <v>233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81" t="s">
        <v>27</v>
      </c>
      <c r="L4" s="181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234</v>
      </c>
      <c r="C5" s="268"/>
      <c r="D5" s="268"/>
      <c r="E5" s="268"/>
      <c r="F5" s="269"/>
      <c r="G5" s="133" t="s">
        <v>235</v>
      </c>
      <c r="H5" s="134"/>
      <c r="I5" s="184" t="s">
        <v>236</v>
      </c>
      <c r="J5" s="132"/>
      <c r="K5" s="182">
        <v>1</v>
      </c>
      <c r="L5" s="182" t="s">
        <v>47</v>
      </c>
      <c r="M5" s="270">
        <v>69</v>
      </c>
      <c r="N5" s="271"/>
    </row>
    <row r="6" spans="1:14" ht="28.15" customHeight="1">
      <c r="A6" s="96"/>
      <c r="B6" s="276"/>
      <c r="C6" s="277"/>
      <c r="D6" s="277"/>
      <c r="E6" s="277"/>
      <c r="F6" s="278"/>
      <c r="G6" s="136"/>
      <c r="H6" s="137"/>
      <c r="I6" s="183"/>
      <c r="J6" s="61"/>
      <c r="K6" s="94"/>
      <c r="L6" s="94"/>
      <c r="M6" s="272"/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f>SUM(M5:N10)</f>
        <v>69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A1:N1"/>
    <mergeCell ref="A2:N2"/>
    <mergeCell ref="A3:B3"/>
    <mergeCell ref="C3:K3"/>
    <mergeCell ref="B4:F4"/>
    <mergeCell ref="G4:H4"/>
    <mergeCell ref="I4:J4"/>
    <mergeCell ref="M4:N4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8916-21B2-44C5-A290-FD7249779643}">
  <sheetPr codeName="工作表42"/>
  <dimension ref="A1:N19"/>
  <sheetViews>
    <sheetView view="pageBreakPreview" zoomScale="115" zoomScaleNormal="100" zoomScaleSheetLayoutView="115" workbookViewId="0">
      <selection activeCell="B5" sqref="B5:F5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192</v>
      </c>
      <c r="N3" s="131" t="s">
        <v>138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74" t="s">
        <v>27</v>
      </c>
      <c r="L4" s="174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218</v>
      </c>
      <c r="C5" s="268"/>
      <c r="D5" s="268"/>
      <c r="E5" s="268"/>
      <c r="F5" s="269"/>
      <c r="G5" s="133"/>
      <c r="H5" s="134"/>
      <c r="I5" s="156" t="s">
        <v>217</v>
      </c>
      <c r="J5" s="132"/>
      <c r="K5" s="175">
        <v>1</v>
      </c>
      <c r="L5" s="175" t="s">
        <v>125</v>
      </c>
      <c r="M5" s="270">
        <v>250</v>
      </c>
      <c r="N5" s="271"/>
    </row>
    <row r="6" spans="1:14" ht="28.15" customHeight="1">
      <c r="A6" s="96">
        <v>2</v>
      </c>
      <c r="B6" s="276" t="s">
        <v>219</v>
      </c>
      <c r="C6" s="277"/>
      <c r="D6" s="277"/>
      <c r="E6" s="277"/>
      <c r="F6" s="278"/>
      <c r="G6" s="136"/>
      <c r="H6" s="137"/>
      <c r="I6" s="136" t="s">
        <v>217</v>
      </c>
      <c r="J6" s="61"/>
      <c r="K6" s="94">
        <v>1</v>
      </c>
      <c r="L6" s="94" t="s">
        <v>125</v>
      </c>
      <c r="M6" s="272">
        <v>45</v>
      </c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f>SUM(M5:N10)</f>
        <v>295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79C8-2F3B-404E-A347-210269C1781E}">
  <sheetPr codeName="工作表43"/>
  <dimension ref="A1:N19"/>
  <sheetViews>
    <sheetView view="pageBreakPreview" zoomScale="115" zoomScaleNormal="100" zoomScaleSheetLayoutView="115" workbookViewId="0">
      <selection activeCell="B6" sqref="B6:F6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222</v>
      </c>
      <c r="N3" s="131" t="s">
        <v>168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77" t="s">
        <v>27</v>
      </c>
      <c r="L4" s="177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225</v>
      </c>
      <c r="C5" s="268"/>
      <c r="D5" s="268"/>
      <c r="E5" s="268"/>
      <c r="F5" s="269"/>
      <c r="G5" s="133" t="s">
        <v>220</v>
      </c>
      <c r="H5" s="134"/>
      <c r="I5" s="156" t="s">
        <v>221</v>
      </c>
      <c r="J5" s="132"/>
      <c r="K5" s="178">
        <v>1</v>
      </c>
      <c r="L5" s="178" t="s">
        <v>125</v>
      </c>
      <c r="M5" s="270">
        <v>944</v>
      </c>
      <c r="N5" s="271"/>
    </row>
    <row r="6" spans="1:14" ht="28.15" customHeight="1">
      <c r="A6" s="96">
        <v>2</v>
      </c>
      <c r="B6" s="276" t="s">
        <v>223</v>
      </c>
      <c r="C6" s="277"/>
      <c r="D6" s="277"/>
      <c r="E6" s="277"/>
      <c r="F6" s="278"/>
      <c r="G6" s="136" t="s">
        <v>224</v>
      </c>
      <c r="H6" s="137"/>
      <c r="I6" s="157" t="s">
        <v>221</v>
      </c>
      <c r="J6" s="61"/>
      <c r="K6" s="94">
        <v>1</v>
      </c>
      <c r="L6" s="94" t="s">
        <v>125</v>
      </c>
      <c r="M6" s="272">
        <v>599</v>
      </c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f>SUM(M5:N10)</f>
        <v>1543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A1:N1"/>
    <mergeCell ref="A2:N2"/>
    <mergeCell ref="A3:B3"/>
    <mergeCell ref="C3:K3"/>
    <mergeCell ref="B4:F4"/>
    <mergeCell ref="G4:H4"/>
    <mergeCell ref="I4:J4"/>
    <mergeCell ref="M4:N4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F7E9-AE4D-42E1-9F3E-3D546EEC0D78}">
  <sheetPr codeName="工作表28"/>
  <dimension ref="A1:N19"/>
  <sheetViews>
    <sheetView view="pageBreakPreview" zoomScale="115" zoomScaleNormal="100" zoomScaleSheetLayoutView="115" workbookViewId="0">
      <selection activeCell="J7" sqref="J7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192</v>
      </c>
      <c r="N3" s="131" t="s">
        <v>211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72" t="s">
        <v>27</v>
      </c>
      <c r="L4" s="172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213</v>
      </c>
      <c r="C5" s="268"/>
      <c r="D5" s="268"/>
      <c r="E5" s="268"/>
      <c r="F5" s="269"/>
      <c r="G5" s="176" t="s">
        <v>212</v>
      </c>
      <c r="H5" s="134"/>
      <c r="I5" s="156" t="s">
        <v>216</v>
      </c>
      <c r="J5" s="132"/>
      <c r="K5" s="173">
        <v>1</v>
      </c>
      <c r="L5" s="173" t="s">
        <v>47</v>
      </c>
      <c r="M5" s="270">
        <v>18900</v>
      </c>
      <c r="N5" s="271"/>
    </row>
    <row r="6" spans="1:14" ht="28.15" customHeight="1">
      <c r="A6" s="96">
        <v>2</v>
      </c>
      <c r="B6" s="276" t="s">
        <v>214</v>
      </c>
      <c r="C6" s="277"/>
      <c r="D6" s="277"/>
      <c r="E6" s="277"/>
      <c r="F6" s="278"/>
      <c r="G6" s="136"/>
      <c r="H6" s="137"/>
      <c r="I6" s="136"/>
      <c r="J6" s="61"/>
      <c r="K6" s="94">
        <v>1</v>
      </c>
      <c r="L6" s="94" t="s">
        <v>215</v>
      </c>
      <c r="M6" s="272">
        <v>1000</v>
      </c>
      <c r="N6" s="273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f>SUM(M5:N10)</f>
        <v>19900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B29A-26C2-4BD9-8039-D3C6304C4729}">
  <sheetPr codeName="工作表29"/>
  <dimension ref="A1:N19"/>
  <sheetViews>
    <sheetView view="pageBreakPreview" zoomScale="115" zoomScaleNormal="100" zoomScaleSheetLayoutView="115" workbookViewId="0">
      <selection activeCell="B5" sqref="B5:F5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192</v>
      </c>
      <c r="N3" s="131" t="s">
        <v>206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70" t="s">
        <v>27</v>
      </c>
      <c r="L4" s="170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207</v>
      </c>
      <c r="C5" s="268"/>
      <c r="D5" s="268"/>
      <c r="E5" s="268"/>
      <c r="F5" s="269"/>
      <c r="G5" s="133" t="s">
        <v>208</v>
      </c>
      <c r="H5" s="134"/>
      <c r="I5" s="156" t="s">
        <v>209</v>
      </c>
      <c r="J5" s="132"/>
      <c r="K5" s="171">
        <v>1</v>
      </c>
      <c r="L5" s="171" t="s">
        <v>189</v>
      </c>
      <c r="M5" s="270">
        <v>990</v>
      </c>
      <c r="N5" s="271"/>
    </row>
    <row r="6" spans="1:14" ht="28.15" customHeight="1">
      <c r="A6" s="96"/>
      <c r="B6" s="334" t="s">
        <v>205</v>
      </c>
      <c r="C6" s="335"/>
      <c r="D6" s="335"/>
      <c r="E6" s="335"/>
      <c r="F6" s="336"/>
      <c r="G6" s="136"/>
      <c r="H6" s="137"/>
      <c r="I6" s="136"/>
      <c r="J6" s="61"/>
      <c r="K6" s="94"/>
      <c r="L6" s="94"/>
      <c r="M6" s="337"/>
      <c r="N6" s="275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f>SUM(M5:N10)</f>
        <v>990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5B607-3F28-4006-A929-156ED3F3B56A}">
  <sheetPr codeName="工作表30"/>
  <dimension ref="A1:N19"/>
  <sheetViews>
    <sheetView view="pageBreakPreview" zoomScale="115" zoomScaleNormal="100" zoomScaleSheetLayoutView="115" workbookViewId="0">
      <selection activeCell="L11" sqref="L11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192</v>
      </c>
      <c r="N3" s="131" t="s">
        <v>202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68" t="s">
        <v>27</v>
      </c>
      <c r="L4" s="168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203</v>
      </c>
      <c r="C5" s="268"/>
      <c r="D5" s="268"/>
      <c r="E5" s="268"/>
      <c r="F5" s="269"/>
      <c r="G5" s="133"/>
      <c r="H5" s="134"/>
      <c r="I5" s="156" t="s">
        <v>204</v>
      </c>
      <c r="J5" s="132"/>
      <c r="K5" s="169">
        <v>5</v>
      </c>
      <c r="L5" s="169" t="s">
        <v>189</v>
      </c>
      <c r="M5" s="270">
        <v>500</v>
      </c>
      <c r="N5" s="271"/>
    </row>
    <row r="6" spans="1:14" ht="28.15" customHeight="1">
      <c r="A6" s="96"/>
      <c r="B6" s="334" t="s">
        <v>205</v>
      </c>
      <c r="C6" s="335"/>
      <c r="D6" s="335"/>
      <c r="E6" s="335"/>
      <c r="F6" s="336"/>
      <c r="G6" s="136"/>
      <c r="H6" s="137"/>
      <c r="I6" s="136"/>
      <c r="J6" s="61"/>
      <c r="K6" s="94"/>
      <c r="L6" s="94"/>
      <c r="M6" s="337"/>
      <c r="N6" s="275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f>SUM(M5:N10)</f>
        <v>500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A1:N1"/>
    <mergeCell ref="A2:N2"/>
    <mergeCell ref="A3:B3"/>
    <mergeCell ref="C3:K3"/>
    <mergeCell ref="B4:F4"/>
    <mergeCell ref="G4:H4"/>
    <mergeCell ref="I4:J4"/>
    <mergeCell ref="M4:N4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DD5F-81E5-4DA1-827E-0497833AD7AA}">
  <sheetPr codeName="工作表31"/>
  <dimension ref="A1:N19"/>
  <sheetViews>
    <sheetView view="pageBreakPreview" zoomScale="115" zoomScaleNormal="100" zoomScaleSheetLayoutView="115" workbookViewId="0">
      <selection activeCell="M11" sqref="M11:N11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192</v>
      </c>
      <c r="N3" s="131" t="s">
        <v>170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68" t="s">
        <v>27</v>
      </c>
      <c r="L4" s="168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196</v>
      </c>
      <c r="C5" s="268"/>
      <c r="D5" s="268"/>
      <c r="E5" s="268"/>
      <c r="F5" s="269"/>
      <c r="G5" s="133" t="s">
        <v>197</v>
      </c>
      <c r="H5" s="134"/>
      <c r="I5" s="133" t="s">
        <v>193</v>
      </c>
      <c r="J5" s="132"/>
      <c r="K5" s="169">
        <v>1</v>
      </c>
      <c r="L5" s="169" t="s">
        <v>189</v>
      </c>
      <c r="M5" s="270">
        <v>1259</v>
      </c>
      <c r="N5" s="271"/>
    </row>
    <row r="6" spans="1:14" ht="28.15" customHeight="1">
      <c r="A6" s="96">
        <v>2</v>
      </c>
      <c r="B6" s="276" t="s">
        <v>195</v>
      </c>
      <c r="C6" s="277"/>
      <c r="D6" s="277"/>
      <c r="E6" s="277"/>
      <c r="F6" s="278"/>
      <c r="G6" s="136" t="s">
        <v>198</v>
      </c>
      <c r="H6" s="137"/>
      <c r="I6" s="136" t="s">
        <v>194</v>
      </c>
      <c r="J6" s="61"/>
      <c r="K6" s="94">
        <v>1</v>
      </c>
      <c r="L6" s="94" t="s">
        <v>47</v>
      </c>
      <c r="M6" s="337">
        <v>599</v>
      </c>
      <c r="N6" s="275"/>
    </row>
    <row r="7" spans="1:14" ht="28.15" customHeight="1">
      <c r="A7" s="96">
        <v>3</v>
      </c>
      <c r="B7" s="279" t="s">
        <v>199</v>
      </c>
      <c r="C7" s="280"/>
      <c r="D7" s="280"/>
      <c r="E7" s="280"/>
      <c r="F7" s="281"/>
      <c r="G7" s="136" t="s">
        <v>201</v>
      </c>
      <c r="H7" s="137"/>
      <c r="I7" s="136" t="s">
        <v>200</v>
      </c>
      <c r="J7" s="61"/>
      <c r="K7" s="94">
        <v>1</v>
      </c>
      <c r="L7" s="94" t="s">
        <v>47</v>
      </c>
      <c r="M7" s="274">
        <v>89</v>
      </c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f>SUM(M5:N10)</f>
        <v>1947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A1:N1"/>
    <mergeCell ref="A2:N2"/>
    <mergeCell ref="A3:B3"/>
    <mergeCell ref="C3:K3"/>
    <mergeCell ref="B4:F4"/>
    <mergeCell ref="G4:H4"/>
    <mergeCell ref="I4:J4"/>
    <mergeCell ref="M4:N4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24E99-7C16-4AC7-81FD-D5CF72D42A25}">
  <sheetPr codeName="工作表32"/>
  <dimension ref="A1:N19"/>
  <sheetViews>
    <sheetView view="pageBreakPreview" zoomScale="115" zoomScaleNormal="100" zoomScaleSheetLayoutView="115" workbookViewId="0">
      <selection activeCell="B5" sqref="B5:F5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192</v>
      </c>
      <c r="N3" s="131" t="s">
        <v>191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66" t="s">
        <v>27</v>
      </c>
      <c r="L4" s="166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187</v>
      </c>
      <c r="C5" s="268"/>
      <c r="D5" s="268"/>
      <c r="E5" s="268"/>
      <c r="F5" s="269"/>
      <c r="G5" s="133"/>
      <c r="H5" s="134"/>
      <c r="I5" s="133"/>
      <c r="J5" s="132"/>
      <c r="K5" s="167">
        <v>1</v>
      </c>
      <c r="L5" s="167" t="s">
        <v>190</v>
      </c>
      <c r="M5" s="270">
        <v>90</v>
      </c>
      <c r="N5" s="271"/>
    </row>
    <row r="6" spans="1:14" ht="28.15" customHeight="1">
      <c r="A6" s="96">
        <v>2</v>
      </c>
      <c r="B6" s="276" t="s">
        <v>188</v>
      </c>
      <c r="C6" s="277"/>
      <c r="D6" s="277"/>
      <c r="E6" s="277"/>
      <c r="F6" s="278"/>
      <c r="G6" s="136"/>
      <c r="H6" s="137"/>
      <c r="I6" s="136"/>
      <c r="J6" s="61"/>
      <c r="K6" s="94">
        <v>1</v>
      </c>
      <c r="L6" s="94" t="s">
        <v>189</v>
      </c>
      <c r="M6" s="337">
        <v>240</v>
      </c>
      <c r="N6" s="275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f>SUM(M5:N10)</f>
        <v>330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A1:N1"/>
    <mergeCell ref="A2:N2"/>
    <mergeCell ref="A3:B3"/>
    <mergeCell ref="C3:K3"/>
    <mergeCell ref="B4:F4"/>
    <mergeCell ref="G4:H4"/>
    <mergeCell ref="I4:J4"/>
    <mergeCell ref="M4:N4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FA26B-67B7-4C1C-9289-540D79FA0FAD}">
  <sheetPr codeName="工作表33"/>
  <dimension ref="A1:N19"/>
  <sheetViews>
    <sheetView view="pageBreakPreview" zoomScale="115" zoomScaleNormal="100" zoomScaleSheetLayoutView="115" workbookViewId="0">
      <selection activeCell="B5" sqref="B5:F5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169</v>
      </c>
      <c r="N3" s="131" t="s">
        <v>183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64" t="s">
        <v>27</v>
      </c>
      <c r="L4" s="164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185</v>
      </c>
      <c r="C5" s="268"/>
      <c r="D5" s="268"/>
      <c r="E5" s="268"/>
      <c r="F5" s="269"/>
      <c r="G5" s="133" t="s">
        <v>184</v>
      </c>
      <c r="H5" s="134"/>
      <c r="I5" s="133"/>
      <c r="J5" s="132"/>
      <c r="K5" s="165">
        <v>1</v>
      </c>
      <c r="L5" s="165" t="s">
        <v>47</v>
      </c>
      <c r="M5" s="270">
        <v>6960</v>
      </c>
      <c r="N5" s="271"/>
    </row>
    <row r="6" spans="1:14" ht="28.15" customHeight="1">
      <c r="A6" s="96"/>
      <c r="B6" s="279" t="s">
        <v>186</v>
      </c>
      <c r="C6" s="280"/>
      <c r="D6" s="280"/>
      <c r="E6" s="280"/>
      <c r="F6" s="281"/>
      <c r="G6" s="136"/>
      <c r="H6" s="137"/>
      <c r="I6" s="136"/>
      <c r="J6" s="61"/>
      <c r="K6" s="94"/>
      <c r="L6" s="94"/>
      <c r="M6" s="337"/>
      <c r="N6" s="275"/>
    </row>
    <row r="7" spans="1:14" ht="28.15" customHeight="1">
      <c r="A7" s="96"/>
      <c r="B7" s="279"/>
      <c r="C7" s="280"/>
      <c r="D7" s="280"/>
      <c r="E7" s="280"/>
      <c r="F7" s="28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f>SUM(M5:N10)</f>
        <v>6960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A1:N1"/>
    <mergeCell ref="A2:N2"/>
    <mergeCell ref="A3:B3"/>
    <mergeCell ref="C3:K3"/>
    <mergeCell ref="B4:F4"/>
    <mergeCell ref="G4:H4"/>
    <mergeCell ref="I4:J4"/>
    <mergeCell ref="M4:N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C323-5DD9-4619-A3DB-FEAEDA2580A1}">
  <sheetPr codeName="工作表34"/>
  <dimension ref="A1:N19"/>
  <sheetViews>
    <sheetView view="pageBreakPreview" zoomScale="115" zoomScaleNormal="100" zoomScaleSheetLayoutView="115" workbookViewId="0">
      <selection activeCell="P8" sqref="P8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169</v>
      </c>
      <c r="N3" s="131" t="s">
        <v>182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62" t="s">
        <v>27</v>
      </c>
      <c r="L4" s="162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178</v>
      </c>
      <c r="C5" s="268"/>
      <c r="D5" s="268"/>
      <c r="E5" s="268"/>
      <c r="F5" s="269"/>
      <c r="G5" s="133" t="s">
        <v>179</v>
      </c>
      <c r="H5" s="134"/>
      <c r="I5" s="133" t="s">
        <v>176</v>
      </c>
      <c r="J5" s="132"/>
      <c r="K5" s="163">
        <v>6</v>
      </c>
      <c r="L5" s="163" t="s">
        <v>125</v>
      </c>
      <c r="M5" s="270">
        <f>104*6</f>
        <v>624</v>
      </c>
      <c r="N5" s="271"/>
    </row>
    <row r="6" spans="1:14" ht="28.15" customHeight="1">
      <c r="A6" s="96">
        <v>2</v>
      </c>
      <c r="B6" s="279" t="s">
        <v>177</v>
      </c>
      <c r="C6" s="280"/>
      <c r="D6" s="280"/>
      <c r="E6" s="280"/>
      <c r="F6" s="281"/>
      <c r="G6" s="136" t="s">
        <v>180</v>
      </c>
      <c r="H6" s="137"/>
      <c r="I6" s="136" t="s">
        <v>176</v>
      </c>
      <c r="J6" s="61"/>
      <c r="K6" s="94">
        <v>2</v>
      </c>
      <c r="L6" s="94" t="s">
        <v>175</v>
      </c>
      <c r="M6" s="337">
        <f>209*2</f>
        <v>418</v>
      </c>
      <c r="N6" s="275"/>
    </row>
    <row r="7" spans="1:14" ht="28.15" customHeight="1">
      <c r="A7" s="96">
        <v>3</v>
      </c>
      <c r="B7" s="279" t="s">
        <v>177</v>
      </c>
      <c r="C7" s="280"/>
      <c r="D7" s="280"/>
      <c r="E7" s="280"/>
      <c r="F7" s="281"/>
      <c r="G7" s="136" t="s">
        <v>181</v>
      </c>
      <c r="H7" s="137"/>
      <c r="I7" s="136" t="s">
        <v>176</v>
      </c>
      <c r="J7" s="61"/>
      <c r="K7" s="94">
        <v>6</v>
      </c>
      <c r="L7" s="94" t="s">
        <v>175</v>
      </c>
      <c r="M7" s="274">
        <f>89*6</f>
        <v>534</v>
      </c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f>SUM(M5:N10)</f>
        <v>1576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9">
    <mergeCell ref="A1:N1"/>
    <mergeCell ref="A2:N2"/>
    <mergeCell ref="A3:B3"/>
    <mergeCell ref="C3:K3"/>
    <mergeCell ref="B4:F4"/>
    <mergeCell ref="G4:H4"/>
    <mergeCell ref="I4:J4"/>
    <mergeCell ref="M4:N4"/>
    <mergeCell ref="A12:N12"/>
    <mergeCell ref="B5:F5"/>
    <mergeCell ref="M5:N5"/>
    <mergeCell ref="B6:F6"/>
    <mergeCell ref="M6:N6"/>
    <mergeCell ref="B7:F7"/>
    <mergeCell ref="M7:N7"/>
    <mergeCell ref="M8:N8"/>
    <mergeCell ref="M9:N9"/>
    <mergeCell ref="M10:N10"/>
    <mergeCell ref="B11:K11"/>
    <mergeCell ref="M11:N11"/>
    <mergeCell ref="M13:N13"/>
    <mergeCell ref="A14:B16"/>
    <mergeCell ref="A17:N17"/>
    <mergeCell ref="A13:B13"/>
    <mergeCell ref="C13:D13"/>
    <mergeCell ref="E13:F13"/>
    <mergeCell ref="G13:H13"/>
    <mergeCell ref="I13:J13"/>
    <mergeCell ref="K13:L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A2A6F-9BFF-4377-BCF9-E3D0BCC449D7}">
  <sheetPr codeName="工作表35"/>
  <dimension ref="A1:N19"/>
  <sheetViews>
    <sheetView view="pageBreakPreview" zoomScale="115" zoomScaleNormal="100" zoomScaleSheetLayoutView="115" workbookViewId="0">
      <selection activeCell="I7" sqref="I7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169</v>
      </c>
      <c r="N3" s="131" t="s">
        <v>170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62" t="s">
        <v>27</v>
      </c>
      <c r="L4" s="162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173</v>
      </c>
      <c r="C5" s="268"/>
      <c r="D5" s="268"/>
      <c r="E5" s="268"/>
      <c r="F5" s="269"/>
      <c r="G5" s="133" t="s">
        <v>174</v>
      </c>
      <c r="H5" s="134"/>
      <c r="I5" s="133" t="s">
        <v>172</v>
      </c>
      <c r="J5" s="132"/>
      <c r="K5" s="163">
        <v>1</v>
      </c>
      <c r="L5" s="163" t="s">
        <v>125</v>
      </c>
      <c r="M5" s="270">
        <v>109</v>
      </c>
      <c r="N5" s="271"/>
    </row>
    <row r="6" spans="1:14" ht="28.15" customHeight="1">
      <c r="A6" s="96">
        <v>2</v>
      </c>
      <c r="B6" s="279" t="s">
        <v>171</v>
      </c>
      <c r="C6" s="280"/>
      <c r="D6" s="280"/>
      <c r="E6" s="280"/>
      <c r="F6" s="281"/>
      <c r="G6" s="136"/>
      <c r="H6" s="137"/>
      <c r="I6" s="136" t="s">
        <v>172</v>
      </c>
      <c r="J6" s="61"/>
      <c r="K6" s="94">
        <v>1</v>
      </c>
      <c r="L6" s="94" t="s">
        <v>175</v>
      </c>
      <c r="M6" s="337">
        <v>165</v>
      </c>
      <c r="N6" s="275"/>
    </row>
    <row r="7" spans="1:14" ht="28.15" customHeight="1">
      <c r="A7" s="96"/>
      <c r="B7" s="56"/>
      <c r="C7" s="56"/>
      <c r="D7" s="56"/>
      <c r="E7" s="135"/>
      <c r="F7" s="6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274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8">
    <mergeCell ref="M8:N8"/>
    <mergeCell ref="A1:N1"/>
    <mergeCell ref="A2:N2"/>
    <mergeCell ref="A3:B3"/>
    <mergeCell ref="C3:K3"/>
    <mergeCell ref="B4:F4"/>
    <mergeCell ref="G4:H4"/>
    <mergeCell ref="I4:J4"/>
    <mergeCell ref="M4:N4"/>
    <mergeCell ref="B5:F5"/>
    <mergeCell ref="M5:N5"/>
    <mergeCell ref="B6:F6"/>
    <mergeCell ref="M6:N6"/>
    <mergeCell ref="M7:N7"/>
    <mergeCell ref="K13:L13"/>
    <mergeCell ref="M13:N13"/>
    <mergeCell ref="A14:B16"/>
    <mergeCell ref="A17:N17"/>
    <mergeCell ref="M9:N9"/>
    <mergeCell ref="M10:N10"/>
    <mergeCell ref="B11:K11"/>
    <mergeCell ref="M11:N11"/>
    <mergeCell ref="A12:N12"/>
    <mergeCell ref="A13:B13"/>
    <mergeCell ref="C13:D13"/>
    <mergeCell ref="E13:F13"/>
    <mergeCell ref="G13:H13"/>
    <mergeCell ref="I13:J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030B5-9D68-4987-8968-FAF485A6FE82}">
  <sheetPr codeName="工作表18"/>
  <dimension ref="A1:N19"/>
  <sheetViews>
    <sheetView view="pageBreakPreview" zoomScale="115" zoomScaleNormal="100" zoomScaleSheetLayoutView="115" workbookViewId="0">
      <selection activeCell="B6" sqref="B6:F6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153</v>
      </c>
      <c r="N3" s="131" t="s">
        <v>168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60" t="s">
        <v>27</v>
      </c>
      <c r="L4" s="160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162</v>
      </c>
      <c r="C5" s="268"/>
      <c r="D5" s="268"/>
      <c r="E5" s="268"/>
      <c r="F5" s="269"/>
      <c r="G5" s="133" t="s">
        <v>160</v>
      </c>
      <c r="H5" s="134"/>
      <c r="I5" s="133" t="s">
        <v>163</v>
      </c>
      <c r="J5" s="132"/>
      <c r="K5" s="161">
        <v>1</v>
      </c>
      <c r="L5" s="161" t="s">
        <v>161</v>
      </c>
      <c r="M5" s="270">
        <v>210</v>
      </c>
      <c r="N5" s="271"/>
    </row>
    <row r="6" spans="1:14" ht="28.15" customHeight="1">
      <c r="A6" s="96">
        <v>2</v>
      </c>
      <c r="B6" s="279" t="s">
        <v>164</v>
      </c>
      <c r="C6" s="280"/>
      <c r="D6" s="280"/>
      <c r="E6" s="280"/>
      <c r="F6" s="281"/>
      <c r="G6" s="136" t="s">
        <v>167</v>
      </c>
      <c r="H6" s="137"/>
      <c r="I6" s="136" t="s">
        <v>165</v>
      </c>
      <c r="J6" s="61"/>
      <c r="K6" s="94">
        <v>1</v>
      </c>
      <c r="L6" s="94" t="s">
        <v>166</v>
      </c>
      <c r="M6" s="337">
        <v>620</v>
      </c>
      <c r="N6" s="275"/>
    </row>
    <row r="7" spans="1:14" ht="28.15" customHeight="1">
      <c r="A7" s="96"/>
      <c r="B7" s="56"/>
      <c r="C7" s="56"/>
      <c r="D7" s="56"/>
      <c r="E7" s="135"/>
      <c r="F7" s="6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 t="s">
        <v>158</v>
      </c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830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8">
    <mergeCell ref="M8:N8"/>
    <mergeCell ref="A1:N1"/>
    <mergeCell ref="A2:N2"/>
    <mergeCell ref="A3:B3"/>
    <mergeCell ref="C3:K3"/>
    <mergeCell ref="B4:F4"/>
    <mergeCell ref="G4:H4"/>
    <mergeCell ref="I4:J4"/>
    <mergeCell ref="M4:N4"/>
    <mergeCell ref="B5:F5"/>
    <mergeCell ref="M5:N5"/>
    <mergeCell ref="B6:F6"/>
    <mergeCell ref="M6:N6"/>
    <mergeCell ref="M7:N7"/>
    <mergeCell ref="K13:L13"/>
    <mergeCell ref="M13:N13"/>
    <mergeCell ref="A14:B16"/>
    <mergeCell ref="A17:N17"/>
    <mergeCell ref="M9:N9"/>
    <mergeCell ref="M10:N10"/>
    <mergeCell ref="B11:K11"/>
    <mergeCell ref="M11:N11"/>
    <mergeCell ref="A12:N12"/>
    <mergeCell ref="A13:B13"/>
    <mergeCell ref="C13:D13"/>
    <mergeCell ref="E13:F13"/>
    <mergeCell ref="G13:H13"/>
    <mergeCell ref="I13:J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410D-F029-427D-B506-73F8F63BA5DA}">
  <sheetPr codeName="工作表19"/>
  <dimension ref="A1:N19"/>
  <sheetViews>
    <sheetView view="pageBreakPreview" zoomScale="115" zoomScaleNormal="100" zoomScaleSheetLayoutView="115" workbookViewId="0">
      <selection activeCell="M6" sqref="M6:N6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153</v>
      </c>
      <c r="N3" s="131" t="s">
        <v>159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60" t="s">
        <v>27</v>
      </c>
      <c r="L4" s="160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155</v>
      </c>
      <c r="C5" s="268"/>
      <c r="D5" s="268"/>
      <c r="E5" s="268"/>
      <c r="F5" s="269"/>
      <c r="G5" s="133" t="s">
        <v>156</v>
      </c>
      <c r="H5" s="134"/>
      <c r="I5" s="156" t="s">
        <v>157</v>
      </c>
      <c r="J5" s="132"/>
      <c r="K5" s="161">
        <v>1</v>
      </c>
      <c r="L5" s="161" t="s">
        <v>47</v>
      </c>
      <c r="M5" s="270">
        <v>24675</v>
      </c>
      <c r="N5" s="271"/>
    </row>
    <row r="6" spans="1:14" ht="28.15" customHeight="1">
      <c r="A6" s="96"/>
      <c r="B6" s="279"/>
      <c r="C6" s="280"/>
      <c r="D6" s="280"/>
      <c r="E6" s="280"/>
      <c r="F6" s="281"/>
      <c r="G6" s="136"/>
      <c r="H6" s="137"/>
      <c r="I6" s="136"/>
      <c r="J6" s="61"/>
      <c r="K6" s="94"/>
      <c r="L6" s="94"/>
      <c r="M6" s="337"/>
      <c r="N6" s="275"/>
    </row>
    <row r="7" spans="1:14" ht="28.15" customHeight="1">
      <c r="A7" s="96"/>
      <c r="B7" s="56"/>
      <c r="C7" s="56"/>
      <c r="D7" s="56"/>
      <c r="E7" s="135"/>
      <c r="F7" s="6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 t="s">
        <v>158</v>
      </c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24675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8">
    <mergeCell ref="M8:N8"/>
    <mergeCell ref="A1:N1"/>
    <mergeCell ref="A2:N2"/>
    <mergeCell ref="A3:B3"/>
    <mergeCell ref="C3:K3"/>
    <mergeCell ref="B4:F4"/>
    <mergeCell ref="G4:H4"/>
    <mergeCell ref="I4:J4"/>
    <mergeCell ref="M4:N4"/>
    <mergeCell ref="B5:F5"/>
    <mergeCell ref="M5:N5"/>
    <mergeCell ref="B6:F6"/>
    <mergeCell ref="M6:N6"/>
    <mergeCell ref="M7:N7"/>
    <mergeCell ref="K13:L13"/>
    <mergeCell ref="M13:N13"/>
    <mergeCell ref="A14:B16"/>
    <mergeCell ref="A17:N17"/>
    <mergeCell ref="M9:N9"/>
    <mergeCell ref="M10:N10"/>
    <mergeCell ref="B11:K11"/>
    <mergeCell ref="M11:N11"/>
    <mergeCell ref="A12:N12"/>
    <mergeCell ref="A13:B13"/>
    <mergeCell ref="C13:D13"/>
    <mergeCell ref="E13:F13"/>
    <mergeCell ref="G13:H13"/>
    <mergeCell ref="I13:J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C803-E341-4729-9855-9777C454A5A2}">
  <sheetPr codeName="工作表20"/>
  <dimension ref="A1:N19"/>
  <sheetViews>
    <sheetView view="pageBreakPreview" zoomScale="115" zoomScaleNormal="100" zoomScaleSheetLayoutView="115" workbookViewId="0">
      <selection activeCell="B5" sqref="B5:F5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153</v>
      </c>
      <c r="N3" s="131" t="s">
        <v>154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58" t="s">
        <v>27</v>
      </c>
      <c r="L4" s="158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151</v>
      </c>
      <c r="C5" s="268"/>
      <c r="D5" s="268"/>
      <c r="E5" s="268"/>
      <c r="F5" s="269"/>
      <c r="G5" s="133"/>
      <c r="H5" s="134"/>
      <c r="I5" s="156" t="s">
        <v>152</v>
      </c>
      <c r="J5" s="132"/>
      <c r="K5" s="159">
        <v>2</v>
      </c>
      <c r="L5" s="159" t="s">
        <v>55</v>
      </c>
      <c r="M5" s="270">
        <v>6300</v>
      </c>
      <c r="N5" s="271"/>
    </row>
    <row r="6" spans="1:14" ht="28.15" customHeight="1">
      <c r="A6" s="96"/>
      <c r="B6" s="279"/>
      <c r="C6" s="280"/>
      <c r="D6" s="280"/>
      <c r="E6" s="280"/>
      <c r="F6" s="281"/>
      <c r="G6" s="136"/>
      <c r="H6" s="137"/>
      <c r="I6" s="136"/>
      <c r="J6" s="61"/>
      <c r="K6" s="94"/>
      <c r="L6" s="94"/>
      <c r="M6" s="337"/>
      <c r="N6" s="275"/>
    </row>
    <row r="7" spans="1:14" ht="28.15" customHeight="1">
      <c r="A7" s="96"/>
      <c r="B7" s="56"/>
      <c r="C7" s="56"/>
      <c r="D7" s="56"/>
      <c r="E7" s="135"/>
      <c r="F7" s="6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 t="s">
        <v>150</v>
      </c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6300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8">
    <mergeCell ref="M8:N8"/>
    <mergeCell ref="A1:N1"/>
    <mergeCell ref="A2:N2"/>
    <mergeCell ref="A3:B3"/>
    <mergeCell ref="C3:K3"/>
    <mergeCell ref="B4:F4"/>
    <mergeCell ref="G4:H4"/>
    <mergeCell ref="I4:J4"/>
    <mergeCell ref="M4:N4"/>
    <mergeCell ref="B5:F5"/>
    <mergeCell ref="M5:N5"/>
    <mergeCell ref="B6:F6"/>
    <mergeCell ref="M6:N6"/>
    <mergeCell ref="M7:N7"/>
    <mergeCell ref="K13:L13"/>
    <mergeCell ref="M13:N13"/>
    <mergeCell ref="A14:B16"/>
    <mergeCell ref="A17:N17"/>
    <mergeCell ref="M9:N9"/>
    <mergeCell ref="M10:N10"/>
    <mergeCell ref="B11:K11"/>
    <mergeCell ref="M11:N11"/>
    <mergeCell ref="A12:N12"/>
    <mergeCell ref="A13:B13"/>
    <mergeCell ref="C13:D13"/>
    <mergeCell ref="E13:F13"/>
    <mergeCell ref="G13:H13"/>
    <mergeCell ref="I13:J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3E40-69FA-48B3-9888-0991079D4FB7}">
  <sheetPr codeName="工作表21"/>
  <dimension ref="A1:N19"/>
  <sheetViews>
    <sheetView view="pageBreakPreview" zoomScale="115" zoomScaleNormal="100" zoomScaleSheetLayoutView="115" workbookViewId="0">
      <selection activeCell="G5" sqref="G5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116</v>
      </c>
      <c r="N3" s="131" t="s">
        <v>145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58" t="s">
        <v>27</v>
      </c>
      <c r="L4" s="158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147</v>
      </c>
      <c r="C5" s="268"/>
      <c r="D5" s="268"/>
      <c r="E5" s="268"/>
      <c r="F5" s="269"/>
      <c r="G5" s="133" t="s">
        <v>148</v>
      </c>
      <c r="H5" s="134"/>
      <c r="I5" s="156" t="s">
        <v>146</v>
      </c>
      <c r="J5" s="132"/>
      <c r="K5" s="159">
        <v>1</v>
      </c>
      <c r="L5" s="159" t="s">
        <v>55</v>
      </c>
      <c r="M5" s="270">
        <v>8400</v>
      </c>
      <c r="N5" s="271"/>
    </row>
    <row r="6" spans="1:14" ht="28.15" customHeight="1">
      <c r="A6" s="96"/>
      <c r="B6" s="279" t="s">
        <v>149</v>
      </c>
      <c r="C6" s="280"/>
      <c r="D6" s="280"/>
      <c r="E6" s="280"/>
      <c r="F6" s="281"/>
      <c r="G6" s="136"/>
      <c r="H6" s="137"/>
      <c r="I6" s="136"/>
      <c r="J6" s="61"/>
      <c r="K6" s="94"/>
      <c r="L6" s="94"/>
      <c r="M6" s="337"/>
      <c r="N6" s="275"/>
    </row>
    <row r="7" spans="1:14" ht="28.15" customHeight="1">
      <c r="A7" s="96"/>
      <c r="B7" s="56"/>
      <c r="C7" s="56"/>
      <c r="D7" s="56"/>
      <c r="E7" s="135"/>
      <c r="F7" s="6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00" t="s">
        <v>150</v>
      </c>
      <c r="C11" s="300"/>
      <c r="D11" s="300"/>
      <c r="E11" s="300"/>
      <c r="F11" s="300"/>
      <c r="G11" s="300"/>
      <c r="H11" s="300"/>
      <c r="I11" s="300"/>
      <c r="J11" s="300"/>
      <c r="K11" s="300"/>
      <c r="L11" s="67" t="s">
        <v>30</v>
      </c>
      <c r="M11" s="301">
        <v>8400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8">
    <mergeCell ref="M8:N8"/>
    <mergeCell ref="A1:N1"/>
    <mergeCell ref="A2:N2"/>
    <mergeCell ref="A3:B3"/>
    <mergeCell ref="C3:K3"/>
    <mergeCell ref="B4:F4"/>
    <mergeCell ref="G4:H4"/>
    <mergeCell ref="I4:J4"/>
    <mergeCell ref="M4:N4"/>
    <mergeCell ref="B5:F5"/>
    <mergeCell ref="M5:N5"/>
    <mergeCell ref="B6:F6"/>
    <mergeCell ref="M6:N6"/>
    <mergeCell ref="M7:N7"/>
    <mergeCell ref="K13:L13"/>
    <mergeCell ref="M13:N13"/>
    <mergeCell ref="A14:B16"/>
    <mergeCell ref="A17:N17"/>
    <mergeCell ref="M9:N9"/>
    <mergeCell ref="M10:N10"/>
    <mergeCell ref="B11:K11"/>
    <mergeCell ref="M11:N11"/>
    <mergeCell ref="A12:N12"/>
    <mergeCell ref="A13:B13"/>
    <mergeCell ref="C13:D13"/>
    <mergeCell ref="E13:F13"/>
    <mergeCell ref="G13:H13"/>
    <mergeCell ref="I13:J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CCA4-340B-49B3-A567-82420A1F34DF}">
  <sheetPr codeName="工作表22"/>
  <dimension ref="A1:N19"/>
  <sheetViews>
    <sheetView view="pageBreakPreview" zoomScale="115" zoomScaleNormal="100" zoomScaleSheetLayoutView="115" workbookViewId="0">
      <selection activeCell="B5" sqref="B5:F5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116</v>
      </c>
      <c r="N3" s="131" t="s">
        <v>145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54" t="s">
        <v>27</v>
      </c>
      <c r="L4" s="154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141</v>
      </c>
      <c r="C5" s="268"/>
      <c r="D5" s="268"/>
      <c r="E5" s="268"/>
      <c r="F5" s="269"/>
      <c r="G5" s="133" t="s">
        <v>142</v>
      </c>
      <c r="H5" s="134"/>
      <c r="I5" s="156" t="s">
        <v>143</v>
      </c>
      <c r="J5" s="132"/>
      <c r="K5" s="155">
        <v>2</v>
      </c>
      <c r="L5" s="155" t="s">
        <v>144</v>
      </c>
      <c r="M5" s="320"/>
      <c r="N5" s="271"/>
    </row>
    <row r="6" spans="1:14" ht="28.15" customHeight="1">
      <c r="A6" s="96"/>
      <c r="B6" s="279"/>
      <c r="C6" s="280"/>
      <c r="D6" s="280"/>
      <c r="E6" s="280"/>
      <c r="F6" s="281"/>
      <c r="G6" s="136"/>
      <c r="H6" s="137"/>
      <c r="I6" s="136"/>
      <c r="J6" s="61"/>
      <c r="K6" s="94"/>
      <c r="L6" s="94"/>
      <c r="M6" s="337"/>
      <c r="N6" s="275"/>
    </row>
    <row r="7" spans="1:14" ht="28.15" customHeight="1">
      <c r="A7" s="96"/>
      <c r="B7" s="56"/>
      <c r="C7" s="56"/>
      <c r="D7" s="56"/>
      <c r="E7" s="135"/>
      <c r="F7" s="6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21"/>
      <c r="C11" s="321"/>
      <c r="D11" s="321"/>
      <c r="E11" s="321"/>
      <c r="F11" s="321"/>
      <c r="G11" s="321"/>
      <c r="H11" s="321"/>
      <c r="I11" s="321"/>
      <c r="J11" s="321"/>
      <c r="K11" s="321"/>
      <c r="L11" s="67" t="s">
        <v>30</v>
      </c>
      <c r="M11" s="301"/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8">
    <mergeCell ref="K13:L13"/>
    <mergeCell ref="M13:N13"/>
    <mergeCell ref="A14:B16"/>
    <mergeCell ref="A17:N17"/>
    <mergeCell ref="M9:N9"/>
    <mergeCell ref="M10:N10"/>
    <mergeCell ref="B11:K11"/>
    <mergeCell ref="M11:N11"/>
    <mergeCell ref="A12:N12"/>
    <mergeCell ref="A13:B13"/>
    <mergeCell ref="C13:D13"/>
    <mergeCell ref="E13:F13"/>
    <mergeCell ref="G13:H13"/>
    <mergeCell ref="I13:J13"/>
    <mergeCell ref="M8:N8"/>
    <mergeCell ref="A1:N1"/>
    <mergeCell ref="A2:N2"/>
    <mergeCell ref="A3:B3"/>
    <mergeCell ref="C3:K3"/>
    <mergeCell ref="B4:F4"/>
    <mergeCell ref="G4:H4"/>
    <mergeCell ref="I4:J4"/>
    <mergeCell ref="M4:N4"/>
    <mergeCell ref="B5:F5"/>
    <mergeCell ref="M5:N5"/>
    <mergeCell ref="B6:F6"/>
    <mergeCell ref="M6:N6"/>
    <mergeCell ref="M7:N7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C81A-1257-4E85-8AC6-126C067064B1}">
  <sheetPr codeName="工作表23"/>
  <dimension ref="A1:N19"/>
  <sheetViews>
    <sheetView view="pageBreakPreview" zoomScale="115" zoomScaleNormal="100" zoomScaleSheetLayoutView="115" workbookViewId="0">
      <selection activeCell="B5" sqref="B5:F5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116</v>
      </c>
      <c r="N3" s="131" t="s">
        <v>138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51" t="s">
        <v>27</v>
      </c>
      <c r="L4" s="151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139</v>
      </c>
      <c r="C5" s="268"/>
      <c r="D5" s="268"/>
      <c r="E5" s="268"/>
      <c r="F5" s="269"/>
      <c r="G5" s="133"/>
      <c r="H5" s="134"/>
      <c r="I5" s="156" t="s">
        <v>133</v>
      </c>
      <c r="J5" s="132"/>
      <c r="K5" s="152">
        <v>1</v>
      </c>
      <c r="L5" s="152" t="s">
        <v>140</v>
      </c>
      <c r="M5" s="320">
        <v>107</v>
      </c>
      <c r="N5" s="271"/>
    </row>
    <row r="6" spans="1:14" ht="28.15" customHeight="1">
      <c r="A6" s="96"/>
      <c r="B6" s="279"/>
      <c r="C6" s="280"/>
      <c r="D6" s="280"/>
      <c r="E6" s="280"/>
      <c r="F6" s="281"/>
      <c r="G6" s="136"/>
      <c r="H6" s="137"/>
      <c r="I6" s="136"/>
      <c r="J6" s="61"/>
      <c r="K6" s="94"/>
      <c r="L6" s="94"/>
      <c r="M6" s="337"/>
      <c r="N6" s="275"/>
    </row>
    <row r="7" spans="1:14" ht="28.15" customHeight="1">
      <c r="A7" s="96"/>
      <c r="B7" s="56"/>
      <c r="C7" s="56"/>
      <c r="D7" s="56"/>
      <c r="E7" s="135"/>
      <c r="F7" s="6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21"/>
      <c r="C11" s="321"/>
      <c r="D11" s="321"/>
      <c r="E11" s="321"/>
      <c r="F11" s="321"/>
      <c r="G11" s="321"/>
      <c r="H11" s="321"/>
      <c r="I11" s="321"/>
      <c r="J11" s="321"/>
      <c r="K11" s="321"/>
      <c r="L11" s="67" t="s">
        <v>30</v>
      </c>
      <c r="M11" s="301">
        <v>107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8">
    <mergeCell ref="M8:N8"/>
    <mergeCell ref="A1:N1"/>
    <mergeCell ref="A2:N2"/>
    <mergeCell ref="A3:B3"/>
    <mergeCell ref="C3:K3"/>
    <mergeCell ref="B4:F4"/>
    <mergeCell ref="G4:H4"/>
    <mergeCell ref="I4:J4"/>
    <mergeCell ref="M4:N4"/>
    <mergeCell ref="B5:F5"/>
    <mergeCell ref="M5:N5"/>
    <mergeCell ref="B6:F6"/>
    <mergeCell ref="M6:N6"/>
    <mergeCell ref="M7:N7"/>
    <mergeCell ref="K13:L13"/>
    <mergeCell ref="M13:N13"/>
    <mergeCell ref="A14:B16"/>
    <mergeCell ref="A17:N17"/>
    <mergeCell ref="M9:N9"/>
    <mergeCell ref="M10:N10"/>
    <mergeCell ref="B11:K11"/>
    <mergeCell ref="M11:N11"/>
    <mergeCell ref="A12:N12"/>
    <mergeCell ref="A13:B13"/>
    <mergeCell ref="C13:D13"/>
    <mergeCell ref="E13:F13"/>
    <mergeCell ref="G13:H13"/>
    <mergeCell ref="I13:J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50DA-3234-45EE-B3F8-A10669AAD11E}">
  <sheetPr codeName="工作表24"/>
  <dimension ref="A1:N19"/>
  <sheetViews>
    <sheetView view="pageBreakPreview" zoomScale="115" zoomScaleNormal="100" zoomScaleSheetLayoutView="115" workbookViewId="0">
      <selection activeCell="B6" sqref="B6:F6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116</v>
      </c>
      <c r="N3" s="131" t="s">
        <v>138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51" t="s">
        <v>27</v>
      </c>
      <c r="L4" s="151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131</v>
      </c>
      <c r="C5" s="268"/>
      <c r="D5" s="268"/>
      <c r="E5" s="268"/>
      <c r="F5" s="269"/>
      <c r="G5" s="133" t="s">
        <v>132</v>
      </c>
      <c r="H5" s="134"/>
      <c r="I5" s="156" t="s">
        <v>133</v>
      </c>
      <c r="J5" s="132"/>
      <c r="K5" s="152">
        <v>150</v>
      </c>
      <c r="L5" s="152" t="s">
        <v>125</v>
      </c>
      <c r="M5" s="320">
        <v>900</v>
      </c>
      <c r="N5" s="271"/>
    </row>
    <row r="6" spans="1:14" ht="28.15" customHeight="1">
      <c r="A6" s="96">
        <v>2</v>
      </c>
      <c r="B6" s="312" t="s">
        <v>134</v>
      </c>
      <c r="C6" s="277"/>
      <c r="D6" s="277"/>
      <c r="E6" s="277"/>
      <c r="F6" s="278"/>
      <c r="G6" s="136" t="s">
        <v>135</v>
      </c>
      <c r="H6" s="137"/>
      <c r="I6" s="157" t="s">
        <v>136</v>
      </c>
      <c r="J6" s="61"/>
      <c r="K6" s="94">
        <v>150</v>
      </c>
      <c r="L6" s="94" t="s">
        <v>137</v>
      </c>
      <c r="M6" s="337">
        <v>900</v>
      </c>
      <c r="N6" s="275"/>
    </row>
    <row r="7" spans="1:14" ht="28.15" customHeight="1">
      <c r="A7" s="96"/>
      <c r="B7" s="56"/>
      <c r="C7" s="56"/>
      <c r="D7" s="56"/>
      <c r="E7" s="135"/>
      <c r="F7" s="6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21"/>
      <c r="C11" s="321"/>
      <c r="D11" s="321"/>
      <c r="E11" s="321"/>
      <c r="F11" s="321"/>
      <c r="G11" s="321"/>
      <c r="H11" s="321"/>
      <c r="I11" s="321"/>
      <c r="J11" s="321"/>
      <c r="K11" s="321"/>
      <c r="L11" s="67" t="s">
        <v>30</v>
      </c>
      <c r="M11" s="301">
        <v>1800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8">
    <mergeCell ref="M8:N8"/>
    <mergeCell ref="A1:N1"/>
    <mergeCell ref="A2:N2"/>
    <mergeCell ref="A3:B3"/>
    <mergeCell ref="C3:K3"/>
    <mergeCell ref="B4:F4"/>
    <mergeCell ref="G4:H4"/>
    <mergeCell ref="I4:J4"/>
    <mergeCell ref="M4:N4"/>
    <mergeCell ref="B5:F5"/>
    <mergeCell ref="M5:N5"/>
    <mergeCell ref="B6:F6"/>
    <mergeCell ref="M6:N6"/>
    <mergeCell ref="M7:N7"/>
    <mergeCell ref="K13:L13"/>
    <mergeCell ref="M13:N13"/>
    <mergeCell ref="A14:B16"/>
    <mergeCell ref="A17:N17"/>
    <mergeCell ref="M9:N9"/>
    <mergeCell ref="M10:N10"/>
    <mergeCell ref="B11:K11"/>
    <mergeCell ref="M11:N11"/>
    <mergeCell ref="A12:N12"/>
    <mergeCell ref="A13:B13"/>
    <mergeCell ref="C13:D13"/>
    <mergeCell ref="E13:F13"/>
    <mergeCell ref="G13:H13"/>
    <mergeCell ref="I13:J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223EC-AB59-4BC5-A401-C5A0AFF39A8D}">
  <sheetPr codeName="工作表25"/>
  <dimension ref="A1:N19"/>
  <sheetViews>
    <sheetView view="pageBreakPreview" zoomScale="115" zoomScaleNormal="100" zoomScaleSheetLayoutView="115" workbookViewId="0">
      <selection activeCell="J6" sqref="J6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116</v>
      </c>
      <c r="N3" s="131" t="s">
        <v>117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27" t="s">
        <v>27</v>
      </c>
      <c r="L4" s="127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122</v>
      </c>
      <c r="C5" s="268"/>
      <c r="D5" s="268"/>
      <c r="E5" s="268"/>
      <c r="F5" s="269"/>
      <c r="G5" s="133" t="s">
        <v>123</v>
      </c>
      <c r="H5" s="134"/>
      <c r="I5" s="133" t="s">
        <v>124</v>
      </c>
      <c r="J5" s="132"/>
      <c r="K5" s="128">
        <v>300</v>
      </c>
      <c r="L5" s="128" t="s">
        <v>125</v>
      </c>
      <c r="M5" s="320">
        <v>22050</v>
      </c>
      <c r="N5" s="271"/>
    </row>
    <row r="6" spans="1:14" ht="28.15" customHeight="1">
      <c r="A6" s="96"/>
      <c r="B6" s="56"/>
      <c r="C6" s="56"/>
      <c r="D6" s="56"/>
      <c r="E6" s="135"/>
      <c r="F6" s="61"/>
      <c r="G6" s="136"/>
      <c r="H6" s="137"/>
      <c r="I6" s="136"/>
      <c r="J6" s="61"/>
      <c r="K6" s="94"/>
      <c r="L6" s="94"/>
      <c r="M6" s="274"/>
      <c r="N6" s="275"/>
    </row>
    <row r="7" spans="1:14" ht="28.15" customHeight="1">
      <c r="A7" s="96"/>
      <c r="B7" s="56"/>
      <c r="C7" s="56"/>
      <c r="D7" s="56"/>
      <c r="E7" s="135"/>
      <c r="F7" s="6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21"/>
      <c r="C11" s="321"/>
      <c r="D11" s="321"/>
      <c r="E11" s="321"/>
      <c r="F11" s="321"/>
      <c r="G11" s="321"/>
      <c r="H11" s="321"/>
      <c r="I11" s="321"/>
      <c r="J11" s="321"/>
      <c r="K11" s="321"/>
      <c r="L11" s="67" t="s">
        <v>30</v>
      </c>
      <c r="M11" s="301">
        <v>22050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7">
    <mergeCell ref="M9:N9"/>
    <mergeCell ref="A1:N1"/>
    <mergeCell ref="A2:N2"/>
    <mergeCell ref="A3:B3"/>
    <mergeCell ref="C3:K3"/>
    <mergeCell ref="B4:F4"/>
    <mergeCell ref="G4:H4"/>
    <mergeCell ref="I4:J4"/>
    <mergeCell ref="M4:N4"/>
    <mergeCell ref="B5:F5"/>
    <mergeCell ref="M5:N5"/>
    <mergeCell ref="M6:N6"/>
    <mergeCell ref="M7:N7"/>
    <mergeCell ref="M8:N8"/>
    <mergeCell ref="M13:N13"/>
    <mergeCell ref="A14:B16"/>
    <mergeCell ref="A17:N17"/>
    <mergeCell ref="M10:N10"/>
    <mergeCell ref="B11:K11"/>
    <mergeCell ref="M11:N11"/>
    <mergeCell ref="A12:N12"/>
    <mergeCell ref="A13:B13"/>
    <mergeCell ref="C13:D13"/>
    <mergeCell ref="E13:F13"/>
    <mergeCell ref="G13:H13"/>
    <mergeCell ref="I13:J13"/>
    <mergeCell ref="K13:L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1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C0E4-C603-4A0C-9063-9EED729E373C}">
  <sheetPr codeName="工作表26"/>
  <dimension ref="A1:N19"/>
  <sheetViews>
    <sheetView zoomScaleNormal="100" zoomScaleSheetLayoutView="115" workbookViewId="0">
      <selection activeCell="I14" sqref="I14"/>
    </sheetView>
  </sheetViews>
  <sheetFormatPr defaultColWidth="11.25" defaultRowHeight="15" customHeight="1"/>
  <cols>
    <col min="1" max="6" width="7.625" style="1" customWidth="1"/>
    <col min="7" max="14" width="7.5" style="1" customWidth="1"/>
    <col min="15" max="15" width="6.875" style="1" customWidth="1"/>
    <col min="16" max="16384" width="11.25" style="1"/>
  </cols>
  <sheetData>
    <row r="1" spans="1:14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8.75" customHeight="1" thickBot="1">
      <c r="A3" s="283" t="s">
        <v>10</v>
      </c>
      <c r="B3" s="284"/>
      <c r="C3" s="285" t="s">
        <v>43</v>
      </c>
      <c r="D3" s="286"/>
      <c r="E3" s="286"/>
      <c r="F3" s="286"/>
      <c r="G3" s="286"/>
      <c r="H3" s="286"/>
      <c r="I3" s="286"/>
      <c r="J3" s="286"/>
      <c r="K3" s="287"/>
      <c r="L3" s="129" t="s">
        <v>115</v>
      </c>
      <c r="M3" s="130" t="s">
        <v>116</v>
      </c>
      <c r="N3" s="131" t="s">
        <v>117</v>
      </c>
    </row>
    <row r="4" spans="1:14" ht="28.15" customHeight="1">
      <c r="A4" s="58" t="s">
        <v>26</v>
      </c>
      <c r="B4" s="288" t="s">
        <v>33</v>
      </c>
      <c r="C4" s="288"/>
      <c r="D4" s="288"/>
      <c r="E4" s="288"/>
      <c r="F4" s="289"/>
      <c r="G4" s="288" t="s">
        <v>31</v>
      </c>
      <c r="H4" s="289"/>
      <c r="I4" s="288" t="s">
        <v>34</v>
      </c>
      <c r="J4" s="289"/>
      <c r="K4" s="127" t="s">
        <v>27</v>
      </c>
      <c r="L4" s="127" t="s">
        <v>28</v>
      </c>
      <c r="M4" s="290" t="s">
        <v>32</v>
      </c>
      <c r="N4" s="291"/>
    </row>
    <row r="5" spans="1:14" ht="28.15" customHeight="1">
      <c r="A5" s="95">
        <v>1</v>
      </c>
      <c r="B5" s="267" t="s">
        <v>118</v>
      </c>
      <c r="C5" s="268"/>
      <c r="D5" s="268"/>
      <c r="E5" s="268"/>
      <c r="F5" s="269"/>
      <c r="G5" s="133" t="s">
        <v>119</v>
      </c>
      <c r="H5" s="134"/>
      <c r="I5" s="133" t="s">
        <v>120</v>
      </c>
      <c r="J5" s="132"/>
      <c r="K5" s="128">
        <v>2</v>
      </c>
      <c r="L5" s="128" t="s">
        <v>121</v>
      </c>
      <c r="M5" s="320">
        <v>2185</v>
      </c>
      <c r="N5" s="271"/>
    </row>
    <row r="6" spans="1:14" ht="28.15" customHeight="1">
      <c r="A6" s="96"/>
      <c r="B6" s="56"/>
      <c r="C6" s="56"/>
      <c r="D6" s="56"/>
      <c r="E6" s="135"/>
      <c r="F6" s="61"/>
      <c r="G6" s="136"/>
      <c r="H6" s="137"/>
      <c r="I6" s="136"/>
      <c r="J6" s="61"/>
      <c r="K6" s="94"/>
      <c r="L6" s="94"/>
      <c r="M6" s="274"/>
      <c r="N6" s="275"/>
    </row>
    <row r="7" spans="1:14" ht="28.15" customHeight="1">
      <c r="A7" s="96"/>
      <c r="B7" s="56"/>
      <c r="C7" s="56"/>
      <c r="D7" s="56"/>
      <c r="E7" s="135"/>
      <c r="F7" s="61"/>
      <c r="G7" s="136"/>
      <c r="H7" s="137"/>
      <c r="I7" s="136"/>
      <c r="J7" s="61"/>
      <c r="K7" s="94"/>
      <c r="L7" s="94"/>
      <c r="M7" s="274"/>
      <c r="N7" s="275"/>
    </row>
    <row r="8" spans="1:14" ht="28.15" customHeight="1">
      <c r="A8" s="96"/>
      <c r="B8" s="57"/>
      <c r="C8" s="57"/>
      <c r="D8" s="57"/>
      <c r="E8" s="53"/>
      <c r="F8" s="62"/>
      <c r="G8" s="53"/>
      <c r="H8" s="137"/>
      <c r="I8" s="53"/>
      <c r="J8" s="61"/>
      <c r="K8" s="94"/>
      <c r="L8" s="94"/>
      <c r="M8" s="274"/>
      <c r="N8" s="275"/>
    </row>
    <row r="9" spans="1:14" ht="28.15" customHeight="1">
      <c r="A9" s="96"/>
      <c r="B9" s="56"/>
      <c r="C9" s="56"/>
      <c r="D9" s="56"/>
      <c r="E9" s="53"/>
      <c r="F9" s="62"/>
      <c r="G9" s="53"/>
      <c r="H9" s="62"/>
      <c r="I9" s="53"/>
      <c r="J9" s="61"/>
      <c r="K9" s="94"/>
      <c r="L9" s="94"/>
      <c r="M9" s="274"/>
      <c r="N9" s="275"/>
    </row>
    <row r="10" spans="1:14" ht="28.15" customHeight="1">
      <c r="A10" s="150"/>
      <c r="B10" s="54"/>
      <c r="C10" s="54"/>
      <c r="D10" s="54"/>
      <c r="E10" s="55"/>
      <c r="F10" s="63"/>
      <c r="G10" s="55"/>
      <c r="H10" s="63"/>
      <c r="I10" s="55"/>
      <c r="J10" s="64"/>
      <c r="K10" s="100"/>
      <c r="L10" s="100"/>
      <c r="M10" s="292"/>
      <c r="N10" s="293"/>
    </row>
    <row r="11" spans="1:14" ht="28.15" customHeight="1" thickBot="1">
      <c r="A11" s="66" t="s">
        <v>29</v>
      </c>
      <c r="B11" s="321"/>
      <c r="C11" s="321"/>
      <c r="D11" s="321"/>
      <c r="E11" s="321"/>
      <c r="F11" s="321"/>
      <c r="G11" s="321"/>
      <c r="H11" s="321"/>
      <c r="I11" s="321"/>
      <c r="J11" s="321"/>
      <c r="K11" s="321"/>
      <c r="L11" s="67" t="s">
        <v>30</v>
      </c>
      <c r="M11" s="301">
        <v>4370</v>
      </c>
      <c r="N11" s="302"/>
    </row>
    <row r="12" spans="1:14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4"/>
    </row>
    <row r="13" spans="1:14" ht="19.149999999999999" customHeight="1">
      <c r="A13" s="305" t="s">
        <v>110</v>
      </c>
      <c r="B13" s="306"/>
      <c r="C13" s="307" t="s">
        <v>111</v>
      </c>
      <c r="D13" s="306"/>
      <c r="E13" s="308" t="s">
        <v>12</v>
      </c>
      <c r="F13" s="308"/>
      <c r="G13" s="308" t="s">
        <v>13</v>
      </c>
      <c r="H13" s="308"/>
      <c r="I13" s="308" t="s">
        <v>14</v>
      </c>
      <c r="J13" s="308"/>
      <c r="K13" s="309" t="s">
        <v>11</v>
      </c>
      <c r="L13" s="309"/>
      <c r="M13" s="310" t="s">
        <v>15</v>
      </c>
      <c r="N13" s="311"/>
    </row>
    <row r="14" spans="1:14" ht="18" customHeight="1">
      <c r="A14" s="294"/>
      <c r="B14" s="295"/>
      <c r="C14" s="138"/>
      <c r="D14" s="138"/>
      <c r="E14" s="5"/>
      <c r="F14" s="6"/>
      <c r="G14" s="9"/>
      <c r="H14" s="9"/>
      <c r="I14" s="7"/>
      <c r="J14" s="8"/>
      <c r="K14" s="7"/>
      <c r="L14" s="8"/>
      <c r="M14" s="36"/>
      <c r="N14" s="37"/>
    </row>
    <row r="15" spans="1:14" ht="18" customHeight="1">
      <c r="A15" s="296"/>
      <c r="B15" s="297"/>
      <c r="C15" s="138"/>
      <c r="D15" s="138"/>
      <c r="E15" s="5"/>
      <c r="F15" s="6"/>
      <c r="G15" s="9"/>
      <c r="H15" s="9"/>
      <c r="I15" s="7"/>
      <c r="J15" s="8"/>
      <c r="K15" s="7"/>
      <c r="L15" s="8"/>
      <c r="M15" s="38"/>
      <c r="N15" s="39"/>
    </row>
    <row r="16" spans="1:14" ht="18" customHeight="1" thickBot="1">
      <c r="A16" s="298"/>
      <c r="B16" s="299"/>
      <c r="C16" s="139"/>
      <c r="D16" s="139"/>
      <c r="E16" s="11"/>
      <c r="F16" s="10"/>
      <c r="G16" s="12"/>
      <c r="H16" s="13"/>
      <c r="I16" s="14"/>
      <c r="J16" s="13"/>
      <c r="K16" s="14"/>
      <c r="L16" s="13"/>
      <c r="M16" s="40"/>
      <c r="N16" s="41"/>
    </row>
    <row r="17" spans="1:14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</row>
    <row r="19" spans="1:14" ht="15" customHeight="1">
      <c r="A19" s="52" t="s">
        <v>24</v>
      </c>
    </row>
  </sheetData>
  <mergeCells count="27">
    <mergeCell ref="M9:N9"/>
    <mergeCell ref="A1:N1"/>
    <mergeCell ref="A2:N2"/>
    <mergeCell ref="A3:B3"/>
    <mergeCell ref="C3:K3"/>
    <mergeCell ref="B4:F4"/>
    <mergeCell ref="G4:H4"/>
    <mergeCell ref="I4:J4"/>
    <mergeCell ref="M4:N4"/>
    <mergeCell ref="B5:F5"/>
    <mergeCell ref="M5:N5"/>
    <mergeCell ref="M6:N6"/>
    <mergeCell ref="M7:N7"/>
    <mergeCell ref="M8:N8"/>
    <mergeCell ref="M13:N13"/>
    <mergeCell ref="A14:B16"/>
    <mergeCell ref="A17:N17"/>
    <mergeCell ref="M10:N10"/>
    <mergeCell ref="B11:K11"/>
    <mergeCell ref="M11:N11"/>
    <mergeCell ref="A12:N12"/>
    <mergeCell ref="A13:B13"/>
    <mergeCell ref="C13:D13"/>
    <mergeCell ref="E13:F13"/>
    <mergeCell ref="G13:H13"/>
    <mergeCell ref="I13:J13"/>
    <mergeCell ref="K13:L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B45A-1CFE-4B3A-A1B9-5A60972C0200}">
  <sheetPr codeName="工作表27"/>
  <dimension ref="A1:Q19"/>
  <sheetViews>
    <sheetView view="pageBreakPreview" topLeftCell="A2" zoomScale="115" zoomScaleNormal="100" zoomScaleSheetLayoutView="115" workbookViewId="0">
      <selection activeCell="J8" sqref="J8"/>
    </sheetView>
  </sheetViews>
  <sheetFormatPr defaultColWidth="11.25" defaultRowHeight="15" customHeight="1"/>
  <cols>
    <col min="1" max="1" width="7.125" style="1" customWidth="1"/>
    <col min="2" max="2" width="10.5" style="1" customWidth="1"/>
    <col min="3" max="12" width="8.75" style="1" customWidth="1"/>
    <col min="13" max="13" width="6.875" style="1" customWidth="1"/>
    <col min="14" max="16384" width="11.25" style="1"/>
  </cols>
  <sheetData>
    <row r="1" spans="1:12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</row>
    <row r="2" spans="1:12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</row>
    <row r="3" spans="1:12" ht="48.75" customHeight="1" thickBot="1">
      <c r="A3" s="283" t="s">
        <v>10</v>
      </c>
      <c r="B3" s="284"/>
      <c r="C3" s="350" t="s">
        <v>43</v>
      </c>
      <c r="D3" s="351"/>
      <c r="E3" s="351"/>
      <c r="F3" s="351"/>
      <c r="G3" s="351"/>
      <c r="H3" s="351"/>
      <c r="I3" s="352"/>
      <c r="J3" s="99">
        <v>114</v>
      </c>
      <c r="K3" s="97">
        <v>4</v>
      </c>
      <c r="L3" s="98">
        <v>1</v>
      </c>
    </row>
    <row r="4" spans="1:12" ht="28.15" customHeight="1">
      <c r="A4" s="58" t="s">
        <v>26</v>
      </c>
      <c r="B4" s="288" t="s">
        <v>33</v>
      </c>
      <c r="C4" s="288"/>
      <c r="D4" s="289"/>
      <c r="E4" s="288" t="s">
        <v>31</v>
      </c>
      <c r="F4" s="289"/>
      <c r="G4" s="288" t="s">
        <v>34</v>
      </c>
      <c r="H4" s="289"/>
      <c r="I4" s="121" t="s">
        <v>27</v>
      </c>
      <c r="J4" s="121" t="s">
        <v>28</v>
      </c>
      <c r="K4" s="290" t="s">
        <v>32</v>
      </c>
      <c r="L4" s="291"/>
    </row>
    <row r="5" spans="1:12" ht="28.15" customHeight="1">
      <c r="A5" s="95">
        <v>1</v>
      </c>
      <c r="B5" s="345" t="s">
        <v>107</v>
      </c>
      <c r="C5" s="346"/>
      <c r="D5" s="347"/>
      <c r="E5" s="348" t="s">
        <v>106</v>
      </c>
      <c r="F5" s="349"/>
      <c r="G5" s="348" t="s">
        <v>108</v>
      </c>
      <c r="H5" s="349"/>
      <c r="I5" s="122">
        <v>1</v>
      </c>
      <c r="J5" s="94" t="s">
        <v>55</v>
      </c>
      <c r="K5" s="320">
        <v>9180</v>
      </c>
      <c r="L5" s="271"/>
    </row>
    <row r="6" spans="1:12" ht="28.15" customHeight="1">
      <c r="A6" s="96">
        <v>2</v>
      </c>
      <c r="B6" s="340"/>
      <c r="C6" s="341"/>
      <c r="D6" s="342"/>
      <c r="E6" s="343"/>
      <c r="F6" s="342"/>
      <c r="G6" s="343" t="s">
        <v>109</v>
      </c>
      <c r="H6" s="342"/>
      <c r="I6" s="94"/>
      <c r="J6" s="103"/>
      <c r="K6" s="274"/>
      <c r="L6" s="275"/>
    </row>
    <row r="7" spans="1:12" ht="28.15" customHeight="1">
      <c r="A7" s="96">
        <v>3</v>
      </c>
      <c r="B7" s="340"/>
      <c r="C7" s="341"/>
      <c r="D7" s="342"/>
      <c r="E7" s="343"/>
      <c r="F7" s="342"/>
      <c r="G7" s="344"/>
      <c r="H7" s="342"/>
      <c r="I7" s="94"/>
      <c r="J7" s="94"/>
      <c r="K7" s="274"/>
      <c r="L7" s="275"/>
    </row>
    <row r="8" spans="1:12" ht="28.15" customHeight="1">
      <c r="A8" s="96">
        <v>3</v>
      </c>
      <c r="B8" s="340"/>
      <c r="C8" s="341"/>
      <c r="D8" s="342"/>
      <c r="E8" s="343"/>
      <c r="F8" s="342"/>
      <c r="G8" s="344"/>
      <c r="H8" s="342"/>
      <c r="I8" s="94"/>
      <c r="J8" s="94"/>
      <c r="K8" s="274"/>
      <c r="L8" s="275"/>
    </row>
    <row r="9" spans="1:12" ht="28.15" customHeight="1">
      <c r="A9" s="59"/>
      <c r="B9" s="56"/>
      <c r="C9" s="53"/>
      <c r="D9" s="62"/>
      <c r="E9" s="53"/>
      <c r="F9" s="62"/>
      <c r="G9" s="53"/>
      <c r="H9" s="61"/>
      <c r="I9" s="61"/>
      <c r="J9" s="65"/>
      <c r="K9" s="274"/>
      <c r="L9" s="275"/>
    </row>
    <row r="10" spans="1:12" ht="28.15" customHeight="1">
      <c r="A10" s="60"/>
      <c r="B10" s="54"/>
      <c r="C10" s="55"/>
      <c r="D10" s="63"/>
      <c r="E10" s="55"/>
      <c r="F10" s="63"/>
      <c r="G10" s="55"/>
      <c r="H10" s="64"/>
      <c r="I10" s="64"/>
      <c r="J10" s="100"/>
      <c r="K10" s="338"/>
      <c r="L10" s="339"/>
    </row>
    <row r="11" spans="1:12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67" t="s">
        <v>30</v>
      </c>
      <c r="K11" s="301">
        <v>9180</v>
      </c>
      <c r="L11" s="302"/>
    </row>
    <row r="12" spans="1:12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4"/>
    </row>
    <row r="13" spans="1:12" ht="19.149999999999999" customHeight="1">
      <c r="A13" s="305" t="s">
        <v>1</v>
      </c>
      <c r="B13" s="306"/>
      <c r="C13" s="308" t="s">
        <v>12</v>
      </c>
      <c r="D13" s="308"/>
      <c r="E13" s="308" t="s">
        <v>13</v>
      </c>
      <c r="F13" s="308"/>
      <c r="G13" s="308" t="s">
        <v>14</v>
      </c>
      <c r="H13" s="308"/>
      <c r="I13" s="309" t="s">
        <v>11</v>
      </c>
      <c r="J13" s="309"/>
      <c r="K13" s="310" t="s">
        <v>15</v>
      </c>
      <c r="L13" s="311"/>
    </row>
    <row r="14" spans="1:12" ht="18" customHeight="1">
      <c r="A14" s="296"/>
      <c r="B14" s="297"/>
      <c r="C14" s="5"/>
      <c r="D14" s="6"/>
      <c r="E14" s="9"/>
      <c r="F14" s="9"/>
      <c r="G14" s="7"/>
      <c r="H14" s="8"/>
      <c r="I14" s="7"/>
      <c r="J14" s="8"/>
      <c r="K14" s="36"/>
      <c r="L14" s="37"/>
    </row>
    <row r="15" spans="1:12" ht="18" customHeight="1">
      <c r="A15" s="296"/>
      <c r="B15" s="297"/>
      <c r="C15" s="5"/>
      <c r="D15" s="6"/>
      <c r="E15" s="9"/>
      <c r="F15" s="9"/>
      <c r="G15" s="7"/>
      <c r="H15" s="8"/>
      <c r="I15" s="7"/>
      <c r="J15" s="8"/>
      <c r="K15" s="38"/>
      <c r="L15" s="39"/>
    </row>
    <row r="16" spans="1:12" ht="18" customHeight="1" thickBot="1">
      <c r="A16" s="298"/>
      <c r="B16" s="299"/>
      <c r="C16" s="11"/>
      <c r="D16" s="10"/>
      <c r="E16" s="12"/>
      <c r="F16" s="13"/>
      <c r="G16" s="14"/>
      <c r="H16" s="13"/>
      <c r="I16" s="14"/>
      <c r="J16" s="13"/>
      <c r="K16" s="40"/>
      <c r="L16" s="41"/>
    </row>
    <row r="17" spans="1:17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Q17" s="1" t="s">
        <v>53</v>
      </c>
    </row>
    <row r="19" spans="1:17" ht="15" customHeight="1">
      <c r="A19" s="52" t="s">
        <v>24</v>
      </c>
    </row>
  </sheetData>
  <mergeCells count="37">
    <mergeCell ref="A1:L1"/>
    <mergeCell ref="A2:L2"/>
    <mergeCell ref="A3:B3"/>
    <mergeCell ref="C3:I3"/>
    <mergeCell ref="B4:D4"/>
    <mergeCell ref="E4:F4"/>
    <mergeCell ref="G4:H4"/>
    <mergeCell ref="K4:L4"/>
    <mergeCell ref="B5:D5"/>
    <mergeCell ref="E5:F5"/>
    <mergeCell ref="G5:H5"/>
    <mergeCell ref="K5:L5"/>
    <mergeCell ref="B6:D6"/>
    <mergeCell ref="E6:F6"/>
    <mergeCell ref="G6:H6"/>
    <mergeCell ref="K6:L6"/>
    <mergeCell ref="B7:D7"/>
    <mergeCell ref="E7:F7"/>
    <mergeCell ref="G7:H7"/>
    <mergeCell ref="K7:L7"/>
    <mergeCell ref="B8:D8"/>
    <mergeCell ref="E8:F8"/>
    <mergeCell ref="G8:H8"/>
    <mergeCell ref="K8:L8"/>
    <mergeCell ref="K13:L13"/>
    <mergeCell ref="A14:B16"/>
    <mergeCell ref="A17:L17"/>
    <mergeCell ref="K9:L9"/>
    <mergeCell ref="K10:L10"/>
    <mergeCell ref="B11:I11"/>
    <mergeCell ref="K11:L11"/>
    <mergeCell ref="A12:L12"/>
    <mergeCell ref="A13:B13"/>
    <mergeCell ref="C13:D13"/>
    <mergeCell ref="E13:F13"/>
    <mergeCell ref="G13:H13"/>
    <mergeCell ref="I13:J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horizontalDpi="1200" verticalDpi="12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45A5-CC9C-4AFF-A1DE-1C0EE279E9D9}">
  <sheetPr codeName="工作表16"/>
  <dimension ref="A1:Q19"/>
  <sheetViews>
    <sheetView view="pageBreakPreview" topLeftCell="A2" zoomScale="115" zoomScaleNormal="100" zoomScaleSheetLayoutView="115" workbookViewId="0">
      <selection activeCell="R9" sqref="R9"/>
    </sheetView>
  </sheetViews>
  <sheetFormatPr defaultColWidth="11.25" defaultRowHeight="15" customHeight="1"/>
  <cols>
    <col min="1" max="1" width="7.125" style="1" customWidth="1"/>
    <col min="2" max="2" width="10.5" style="1" customWidth="1"/>
    <col min="3" max="12" width="8.75" style="1" customWidth="1"/>
    <col min="13" max="13" width="6.875" style="1" customWidth="1"/>
    <col min="14" max="16384" width="11.25" style="1"/>
  </cols>
  <sheetData>
    <row r="1" spans="1:12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</row>
    <row r="2" spans="1:12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</row>
    <row r="3" spans="1:12" ht="48.75" customHeight="1" thickBot="1">
      <c r="A3" s="283" t="s">
        <v>10</v>
      </c>
      <c r="B3" s="284"/>
      <c r="C3" s="350" t="s">
        <v>43</v>
      </c>
      <c r="D3" s="351"/>
      <c r="E3" s="351"/>
      <c r="F3" s="351"/>
      <c r="G3" s="351"/>
      <c r="H3" s="351"/>
      <c r="I3" s="352"/>
      <c r="J3" s="99">
        <v>114</v>
      </c>
      <c r="K3" s="97">
        <v>3</v>
      </c>
      <c r="L3" s="98">
        <v>26</v>
      </c>
    </row>
    <row r="4" spans="1:12" ht="28.15" customHeight="1">
      <c r="A4" s="58" t="s">
        <v>26</v>
      </c>
      <c r="B4" s="288" t="s">
        <v>33</v>
      </c>
      <c r="C4" s="288"/>
      <c r="D4" s="289"/>
      <c r="E4" s="288" t="s">
        <v>31</v>
      </c>
      <c r="F4" s="289"/>
      <c r="G4" s="288" t="s">
        <v>34</v>
      </c>
      <c r="H4" s="289"/>
      <c r="I4" s="119" t="s">
        <v>27</v>
      </c>
      <c r="J4" s="119" t="s">
        <v>28</v>
      </c>
      <c r="K4" s="290" t="s">
        <v>32</v>
      </c>
      <c r="L4" s="291"/>
    </row>
    <row r="5" spans="1:12" ht="28.15" customHeight="1">
      <c r="A5" s="95">
        <v>1</v>
      </c>
      <c r="B5" s="345" t="s">
        <v>104</v>
      </c>
      <c r="C5" s="346"/>
      <c r="D5" s="347"/>
      <c r="E5" s="348" t="s">
        <v>105</v>
      </c>
      <c r="F5" s="349"/>
      <c r="G5" s="348"/>
      <c r="H5" s="349"/>
      <c r="I5" s="120">
        <v>2</v>
      </c>
      <c r="J5" s="94" t="s">
        <v>55</v>
      </c>
      <c r="K5" s="320">
        <v>570</v>
      </c>
      <c r="L5" s="271"/>
    </row>
    <row r="6" spans="1:12" ht="28.15" customHeight="1">
      <c r="A6" s="96">
        <v>2</v>
      </c>
      <c r="B6" s="340"/>
      <c r="C6" s="341"/>
      <c r="D6" s="342"/>
      <c r="E6" s="343"/>
      <c r="F6" s="342"/>
      <c r="G6" s="343"/>
      <c r="H6" s="342"/>
      <c r="I6" s="94"/>
      <c r="J6" s="103"/>
      <c r="K6" s="274"/>
      <c r="L6" s="275"/>
    </row>
    <row r="7" spans="1:12" ht="28.15" customHeight="1">
      <c r="A7" s="96">
        <v>3</v>
      </c>
      <c r="B7" s="340"/>
      <c r="C7" s="341"/>
      <c r="D7" s="342"/>
      <c r="E7" s="343"/>
      <c r="F7" s="342"/>
      <c r="G7" s="344"/>
      <c r="H7" s="342"/>
      <c r="I7" s="94"/>
      <c r="J7" s="94"/>
      <c r="K7" s="274"/>
      <c r="L7" s="275"/>
    </row>
    <row r="8" spans="1:12" ht="28.15" customHeight="1">
      <c r="A8" s="96">
        <v>3</v>
      </c>
      <c r="B8" s="340"/>
      <c r="C8" s="341"/>
      <c r="D8" s="342"/>
      <c r="E8" s="343"/>
      <c r="F8" s="342"/>
      <c r="G8" s="344"/>
      <c r="H8" s="342"/>
      <c r="I8" s="94"/>
      <c r="J8" s="94"/>
      <c r="K8" s="274"/>
      <c r="L8" s="275"/>
    </row>
    <row r="9" spans="1:12" ht="28.15" customHeight="1">
      <c r="A9" s="59"/>
      <c r="B9" s="56"/>
      <c r="C9" s="53"/>
      <c r="D9" s="62"/>
      <c r="E9" s="53"/>
      <c r="F9" s="62"/>
      <c r="G9" s="53"/>
      <c r="H9" s="61"/>
      <c r="I9" s="61"/>
      <c r="J9" s="65"/>
      <c r="K9" s="274"/>
      <c r="L9" s="275"/>
    </row>
    <row r="10" spans="1:12" ht="28.15" customHeight="1">
      <c r="A10" s="60"/>
      <c r="B10" s="54"/>
      <c r="C10" s="55"/>
      <c r="D10" s="63"/>
      <c r="E10" s="55"/>
      <c r="F10" s="63"/>
      <c r="G10" s="55"/>
      <c r="H10" s="64"/>
      <c r="I10" s="64"/>
      <c r="J10" s="100"/>
      <c r="K10" s="338"/>
      <c r="L10" s="339"/>
    </row>
    <row r="11" spans="1:12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67" t="s">
        <v>30</v>
      </c>
      <c r="K11" s="301">
        <v>570</v>
      </c>
      <c r="L11" s="302"/>
    </row>
    <row r="12" spans="1:12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4"/>
    </row>
    <row r="13" spans="1:12" ht="19.149999999999999" customHeight="1">
      <c r="A13" s="305" t="s">
        <v>1</v>
      </c>
      <c r="B13" s="306"/>
      <c r="C13" s="308" t="s">
        <v>12</v>
      </c>
      <c r="D13" s="308"/>
      <c r="E13" s="308" t="s">
        <v>13</v>
      </c>
      <c r="F13" s="308"/>
      <c r="G13" s="308" t="s">
        <v>14</v>
      </c>
      <c r="H13" s="308"/>
      <c r="I13" s="309" t="s">
        <v>11</v>
      </c>
      <c r="J13" s="309"/>
      <c r="K13" s="310" t="s">
        <v>15</v>
      </c>
      <c r="L13" s="311"/>
    </row>
    <row r="14" spans="1:12" ht="18" customHeight="1">
      <c r="A14" s="296"/>
      <c r="B14" s="297"/>
      <c r="C14" s="5"/>
      <c r="D14" s="6"/>
      <c r="E14" s="9"/>
      <c r="F14" s="9"/>
      <c r="G14" s="7"/>
      <c r="H14" s="8"/>
      <c r="I14" s="7"/>
      <c r="J14" s="8"/>
      <c r="K14" s="36"/>
      <c r="L14" s="37"/>
    </row>
    <row r="15" spans="1:12" ht="18" customHeight="1">
      <c r="A15" s="296"/>
      <c r="B15" s="297"/>
      <c r="C15" s="5"/>
      <c r="D15" s="6"/>
      <c r="E15" s="9"/>
      <c r="F15" s="9"/>
      <c r="G15" s="7"/>
      <c r="H15" s="8"/>
      <c r="I15" s="7"/>
      <c r="J15" s="8"/>
      <c r="K15" s="38"/>
      <c r="L15" s="39"/>
    </row>
    <row r="16" spans="1:12" ht="18" customHeight="1" thickBot="1">
      <c r="A16" s="298"/>
      <c r="B16" s="299"/>
      <c r="C16" s="11"/>
      <c r="D16" s="10"/>
      <c r="E16" s="12"/>
      <c r="F16" s="13"/>
      <c r="G16" s="14"/>
      <c r="H16" s="13"/>
      <c r="I16" s="14"/>
      <c r="J16" s="13"/>
      <c r="K16" s="40"/>
      <c r="L16" s="41"/>
    </row>
    <row r="17" spans="1:17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Q17" s="1" t="s">
        <v>53</v>
      </c>
    </row>
    <row r="19" spans="1:17" ht="15" customHeight="1">
      <c r="A19" s="52" t="s">
        <v>24</v>
      </c>
    </row>
  </sheetData>
  <mergeCells count="37">
    <mergeCell ref="K13:L13"/>
    <mergeCell ref="A14:B16"/>
    <mergeCell ref="A17:L17"/>
    <mergeCell ref="K9:L9"/>
    <mergeCell ref="K10:L10"/>
    <mergeCell ref="B11:I11"/>
    <mergeCell ref="K11:L11"/>
    <mergeCell ref="A12:L12"/>
    <mergeCell ref="A13:B13"/>
    <mergeCell ref="C13:D13"/>
    <mergeCell ref="E13:F13"/>
    <mergeCell ref="G13:H13"/>
    <mergeCell ref="I13:J13"/>
    <mergeCell ref="B7:D7"/>
    <mergeCell ref="E7:F7"/>
    <mergeCell ref="G7:H7"/>
    <mergeCell ref="K7:L7"/>
    <mergeCell ref="B8:D8"/>
    <mergeCell ref="E8:F8"/>
    <mergeCell ref="G8:H8"/>
    <mergeCell ref="K8:L8"/>
    <mergeCell ref="B5:D5"/>
    <mergeCell ref="E5:F5"/>
    <mergeCell ref="G5:H5"/>
    <mergeCell ref="K5:L5"/>
    <mergeCell ref="B6:D6"/>
    <mergeCell ref="E6:F6"/>
    <mergeCell ref="G6:H6"/>
    <mergeCell ref="K6:L6"/>
    <mergeCell ref="A1:L1"/>
    <mergeCell ref="A2:L2"/>
    <mergeCell ref="A3:B3"/>
    <mergeCell ref="C3:I3"/>
    <mergeCell ref="B4:D4"/>
    <mergeCell ref="E4:F4"/>
    <mergeCell ref="G4:H4"/>
    <mergeCell ref="K4:L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01A2-6953-4575-A3EB-249E763ABFF6}">
  <sheetPr codeName="工作表13"/>
  <dimension ref="A1:Q19"/>
  <sheetViews>
    <sheetView view="pageBreakPreview" zoomScale="115" zoomScaleNormal="100" zoomScaleSheetLayoutView="115" workbookViewId="0">
      <selection activeCell="G10" sqref="G10"/>
    </sheetView>
  </sheetViews>
  <sheetFormatPr defaultColWidth="11.25" defaultRowHeight="15" customHeight="1"/>
  <cols>
    <col min="1" max="1" width="7.125" style="1" customWidth="1"/>
    <col min="2" max="2" width="10.5" style="1" customWidth="1"/>
    <col min="3" max="12" width="8.75" style="1" customWidth="1"/>
    <col min="13" max="13" width="6.875" style="1" customWidth="1"/>
    <col min="14" max="16384" width="11.25" style="1"/>
  </cols>
  <sheetData>
    <row r="1" spans="1:12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</row>
    <row r="2" spans="1:12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</row>
    <row r="3" spans="1:12" ht="48.75" customHeight="1" thickBot="1">
      <c r="A3" s="283" t="s">
        <v>10</v>
      </c>
      <c r="B3" s="284"/>
      <c r="C3" s="350" t="s">
        <v>43</v>
      </c>
      <c r="D3" s="351"/>
      <c r="E3" s="351"/>
      <c r="F3" s="351"/>
      <c r="G3" s="351"/>
      <c r="H3" s="351"/>
      <c r="I3" s="352"/>
      <c r="J3" s="99">
        <v>114</v>
      </c>
      <c r="K3" s="97">
        <v>3</v>
      </c>
      <c r="L3" s="98">
        <v>25</v>
      </c>
    </row>
    <row r="4" spans="1:12" ht="28.15" customHeight="1">
      <c r="A4" s="58" t="s">
        <v>26</v>
      </c>
      <c r="B4" s="288" t="s">
        <v>33</v>
      </c>
      <c r="C4" s="288"/>
      <c r="D4" s="289"/>
      <c r="E4" s="288" t="s">
        <v>31</v>
      </c>
      <c r="F4" s="289"/>
      <c r="G4" s="288" t="s">
        <v>34</v>
      </c>
      <c r="H4" s="289"/>
      <c r="I4" s="117" t="s">
        <v>27</v>
      </c>
      <c r="J4" s="117" t="s">
        <v>28</v>
      </c>
      <c r="K4" s="290" t="s">
        <v>32</v>
      </c>
      <c r="L4" s="291"/>
    </row>
    <row r="5" spans="1:12" ht="28.15" customHeight="1">
      <c r="A5" s="95">
        <v>1</v>
      </c>
      <c r="B5" s="345" t="s">
        <v>101</v>
      </c>
      <c r="C5" s="346"/>
      <c r="D5" s="347"/>
      <c r="E5" s="348" t="s">
        <v>102</v>
      </c>
      <c r="F5" s="349"/>
      <c r="G5" s="348" t="s">
        <v>103</v>
      </c>
      <c r="H5" s="349"/>
      <c r="I5" s="118">
        <v>2</v>
      </c>
      <c r="J5" s="94" t="s">
        <v>55</v>
      </c>
      <c r="K5" s="320">
        <v>538</v>
      </c>
      <c r="L5" s="271"/>
    </row>
    <row r="6" spans="1:12" ht="28.15" customHeight="1">
      <c r="A6" s="96">
        <v>2</v>
      </c>
      <c r="B6" s="340"/>
      <c r="C6" s="341"/>
      <c r="D6" s="342"/>
      <c r="E6" s="343"/>
      <c r="F6" s="342"/>
      <c r="G6" s="343"/>
      <c r="H6" s="342"/>
      <c r="I6" s="94"/>
      <c r="J6" s="103"/>
      <c r="K6" s="274"/>
      <c r="L6" s="275"/>
    </row>
    <row r="7" spans="1:12" ht="28.15" customHeight="1">
      <c r="A7" s="96">
        <v>3</v>
      </c>
      <c r="B7" s="340"/>
      <c r="C7" s="341"/>
      <c r="D7" s="342"/>
      <c r="E7" s="343"/>
      <c r="F7" s="342"/>
      <c r="G7" s="344"/>
      <c r="H7" s="342"/>
      <c r="I7" s="94"/>
      <c r="J7" s="94"/>
      <c r="K7" s="274"/>
      <c r="L7" s="275"/>
    </row>
    <row r="8" spans="1:12" ht="28.15" customHeight="1">
      <c r="A8" s="96">
        <v>3</v>
      </c>
      <c r="B8" s="340"/>
      <c r="C8" s="341"/>
      <c r="D8" s="342"/>
      <c r="E8" s="343"/>
      <c r="F8" s="342"/>
      <c r="G8" s="344"/>
      <c r="H8" s="342"/>
      <c r="I8" s="94"/>
      <c r="J8" s="94"/>
      <c r="K8" s="274"/>
      <c r="L8" s="275"/>
    </row>
    <row r="9" spans="1:12" ht="28.15" customHeight="1">
      <c r="A9" s="59"/>
      <c r="B9" s="56"/>
      <c r="C9" s="53"/>
      <c r="D9" s="62"/>
      <c r="E9" s="53"/>
      <c r="F9" s="62"/>
      <c r="G9" s="53"/>
      <c r="H9" s="61"/>
      <c r="I9" s="61"/>
      <c r="J9" s="65"/>
      <c r="K9" s="274"/>
      <c r="L9" s="275"/>
    </row>
    <row r="10" spans="1:12" ht="28.15" customHeight="1">
      <c r="A10" s="60"/>
      <c r="B10" s="54"/>
      <c r="C10" s="55"/>
      <c r="D10" s="63"/>
      <c r="E10" s="55"/>
      <c r="F10" s="63"/>
      <c r="G10" s="55"/>
      <c r="H10" s="64"/>
      <c r="I10" s="64"/>
      <c r="J10" s="100"/>
      <c r="K10" s="338"/>
      <c r="L10" s="339"/>
    </row>
    <row r="11" spans="1:12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67" t="s">
        <v>30</v>
      </c>
      <c r="K11" s="301">
        <v>538</v>
      </c>
      <c r="L11" s="302"/>
    </row>
    <row r="12" spans="1:12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4"/>
    </row>
    <row r="13" spans="1:12" ht="19.149999999999999" customHeight="1">
      <c r="A13" s="305" t="s">
        <v>1</v>
      </c>
      <c r="B13" s="306"/>
      <c r="C13" s="308" t="s">
        <v>12</v>
      </c>
      <c r="D13" s="308"/>
      <c r="E13" s="308" t="s">
        <v>13</v>
      </c>
      <c r="F13" s="308"/>
      <c r="G13" s="308" t="s">
        <v>14</v>
      </c>
      <c r="H13" s="308"/>
      <c r="I13" s="309" t="s">
        <v>11</v>
      </c>
      <c r="J13" s="309"/>
      <c r="K13" s="310" t="s">
        <v>15</v>
      </c>
      <c r="L13" s="311"/>
    </row>
    <row r="14" spans="1:12" ht="18" customHeight="1">
      <c r="A14" s="296"/>
      <c r="B14" s="297"/>
      <c r="C14" s="5"/>
      <c r="D14" s="6"/>
      <c r="E14" s="9"/>
      <c r="F14" s="9"/>
      <c r="G14" s="7"/>
      <c r="H14" s="8"/>
      <c r="I14" s="7"/>
      <c r="J14" s="8"/>
      <c r="K14" s="36"/>
      <c r="L14" s="37"/>
    </row>
    <row r="15" spans="1:12" ht="18" customHeight="1">
      <c r="A15" s="296"/>
      <c r="B15" s="297"/>
      <c r="C15" s="5"/>
      <c r="D15" s="6"/>
      <c r="E15" s="9"/>
      <c r="F15" s="9"/>
      <c r="G15" s="7"/>
      <c r="H15" s="8"/>
      <c r="I15" s="7"/>
      <c r="J15" s="8"/>
      <c r="K15" s="38"/>
      <c r="L15" s="39"/>
    </row>
    <row r="16" spans="1:12" ht="18" customHeight="1" thickBot="1">
      <c r="A16" s="298"/>
      <c r="B16" s="299"/>
      <c r="C16" s="11"/>
      <c r="D16" s="10"/>
      <c r="E16" s="12"/>
      <c r="F16" s="13"/>
      <c r="G16" s="14"/>
      <c r="H16" s="13"/>
      <c r="I16" s="14"/>
      <c r="J16" s="13"/>
      <c r="K16" s="40"/>
      <c r="L16" s="41"/>
    </row>
    <row r="17" spans="1:17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Q17" s="1" t="s">
        <v>53</v>
      </c>
    </row>
    <row r="19" spans="1:17" ht="15" customHeight="1">
      <c r="A19" s="52" t="s">
        <v>24</v>
      </c>
    </row>
  </sheetData>
  <mergeCells count="37">
    <mergeCell ref="K13:L13"/>
    <mergeCell ref="A14:B16"/>
    <mergeCell ref="A17:L17"/>
    <mergeCell ref="K9:L9"/>
    <mergeCell ref="K10:L10"/>
    <mergeCell ref="B11:I11"/>
    <mergeCell ref="K11:L11"/>
    <mergeCell ref="A12:L12"/>
    <mergeCell ref="A13:B13"/>
    <mergeCell ref="C13:D13"/>
    <mergeCell ref="E13:F13"/>
    <mergeCell ref="G13:H13"/>
    <mergeCell ref="I13:J13"/>
    <mergeCell ref="B7:D7"/>
    <mergeCell ref="E7:F7"/>
    <mergeCell ref="G7:H7"/>
    <mergeCell ref="K7:L7"/>
    <mergeCell ref="B8:D8"/>
    <mergeCell ref="E8:F8"/>
    <mergeCell ref="G8:H8"/>
    <mergeCell ref="K8:L8"/>
    <mergeCell ref="B5:D5"/>
    <mergeCell ref="E5:F5"/>
    <mergeCell ref="G5:H5"/>
    <mergeCell ref="K5:L5"/>
    <mergeCell ref="B6:D6"/>
    <mergeCell ref="E6:F6"/>
    <mergeCell ref="G6:H6"/>
    <mergeCell ref="K6:L6"/>
    <mergeCell ref="A1:L1"/>
    <mergeCell ref="A2:L2"/>
    <mergeCell ref="A3:B3"/>
    <mergeCell ref="C3:I3"/>
    <mergeCell ref="B4:D4"/>
    <mergeCell ref="E4:F4"/>
    <mergeCell ref="G4:H4"/>
    <mergeCell ref="K4:L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3250-8D58-4CAF-B598-6BA0039A214F}">
  <sheetPr codeName="工作表14"/>
  <dimension ref="A1:Q19"/>
  <sheetViews>
    <sheetView view="pageBreakPreview" topLeftCell="A2" zoomScale="115" zoomScaleNormal="100" zoomScaleSheetLayoutView="115" workbookViewId="0">
      <selection activeCell="P8" sqref="P8"/>
    </sheetView>
  </sheetViews>
  <sheetFormatPr defaultColWidth="11.25" defaultRowHeight="15" customHeight="1"/>
  <cols>
    <col min="1" max="1" width="7.125" style="1" customWidth="1"/>
    <col min="2" max="2" width="10.5" style="1" customWidth="1"/>
    <col min="3" max="12" width="8.75" style="1" customWidth="1"/>
    <col min="13" max="13" width="6.875" style="1" customWidth="1"/>
    <col min="14" max="16384" width="11.25" style="1"/>
  </cols>
  <sheetData>
    <row r="1" spans="1:12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</row>
    <row r="2" spans="1:12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</row>
    <row r="3" spans="1:12" ht="48.75" customHeight="1" thickBot="1">
      <c r="A3" s="283" t="s">
        <v>10</v>
      </c>
      <c r="B3" s="284"/>
      <c r="C3" s="350" t="s">
        <v>43</v>
      </c>
      <c r="D3" s="351"/>
      <c r="E3" s="351"/>
      <c r="F3" s="351"/>
      <c r="G3" s="351"/>
      <c r="H3" s="351"/>
      <c r="I3" s="352"/>
      <c r="J3" s="99">
        <v>114</v>
      </c>
      <c r="K3" s="97">
        <v>3</v>
      </c>
      <c r="L3" s="98">
        <v>7</v>
      </c>
    </row>
    <row r="4" spans="1:12" ht="28.15" customHeight="1">
      <c r="A4" s="58" t="s">
        <v>26</v>
      </c>
      <c r="B4" s="288" t="s">
        <v>33</v>
      </c>
      <c r="C4" s="288"/>
      <c r="D4" s="289"/>
      <c r="E4" s="288" t="s">
        <v>31</v>
      </c>
      <c r="F4" s="289"/>
      <c r="G4" s="288" t="s">
        <v>34</v>
      </c>
      <c r="H4" s="289"/>
      <c r="I4" s="115" t="s">
        <v>27</v>
      </c>
      <c r="J4" s="115" t="s">
        <v>28</v>
      </c>
      <c r="K4" s="290" t="s">
        <v>32</v>
      </c>
      <c r="L4" s="291"/>
    </row>
    <row r="5" spans="1:12" ht="28.15" customHeight="1">
      <c r="A5" s="95">
        <v>1</v>
      </c>
      <c r="B5" s="345" t="s">
        <v>99</v>
      </c>
      <c r="C5" s="346"/>
      <c r="D5" s="347"/>
      <c r="E5" s="348"/>
      <c r="F5" s="349"/>
      <c r="G5" s="348"/>
      <c r="H5" s="349"/>
      <c r="I5" s="116">
        <v>1</v>
      </c>
      <c r="J5" s="94" t="s">
        <v>100</v>
      </c>
      <c r="K5" s="320">
        <v>2625</v>
      </c>
      <c r="L5" s="271"/>
    </row>
    <row r="6" spans="1:12" ht="28.15" customHeight="1">
      <c r="A6" s="96">
        <v>2</v>
      </c>
      <c r="B6" s="340"/>
      <c r="C6" s="341"/>
      <c r="D6" s="342"/>
      <c r="E6" s="343"/>
      <c r="F6" s="342"/>
      <c r="G6" s="343"/>
      <c r="H6" s="342"/>
      <c r="I6" s="94"/>
      <c r="J6" s="103"/>
      <c r="K6" s="274"/>
      <c r="L6" s="275"/>
    </row>
    <row r="7" spans="1:12" ht="28.15" customHeight="1">
      <c r="A7" s="96">
        <v>3</v>
      </c>
      <c r="B7" s="340"/>
      <c r="C7" s="341"/>
      <c r="D7" s="342"/>
      <c r="E7" s="343"/>
      <c r="F7" s="342"/>
      <c r="G7" s="344"/>
      <c r="H7" s="342"/>
      <c r="I7" s="94"/>
      <c r="J7" s="94"/>
      <c r="K7" s="274"/>
      <c r="L7" s="275"/>
    </row>
    <row r="8" spans="1:12" ht="28.15" customHeight="1">
      <c r="A8" s="96">
        <v>3</v>
      </c>
      <c r="B8" s="340"/>
      <c r="C8" s="341"/>
      <c r="D8" s="342"/>
      <c r="E8" s="343"/>
      <c r="F8" s="342"/>
      <c r="G8" s="344"/>
      <c r="H8" s="342"/>
      <c r="I8" s="94"/>
      <c r="J8" s="94"/>
      <c r="K8" s="274"/>
      <c r="L8" s="275"/>
    </row>
    <row r="9" spans="1:12" ht="28.15" customHeight="1">
      <c r="A9" s="59"/>
      <c r="B9" s="56"/>
      <c r="C9" s="53"/>
      <c r="D9" s="62"/>
      <c r="E9" s="53"/>
      <c r="F9" s="62"/>
      <c r="G9" s="53"/>
      <c r="H9" s="61"/>
      <c r="I9" s="61"/>
      <c r="J9" s="65"/>
      <c r="K9" s="274"/>
      <c r="L9" s="275"/>
    </row>
    <row r="10" spans="1:12" ht="28.15" customHeight="1">
      <c r="A10" s="60"/>
      <c r="B10" s="54"/>
      <c r="C10" s="55"/>
      <c r="D10" s="63"/>
      <c r="E10" s="55"/>
      <c r="F10" s="63"/>
      <c r="G10" s="55"/>
      <c r="H10" s="64"/>
      <c r="I10" s="64"/>
      <c r="J10" s="100"/>
      <c r="K10" s="338"/>
      <c r="L10" s="339"/>
    </row>
    <row r="11" spans="1:12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67" t="s">
        <v>30</v>
      </c>
      <c r="K11" s="301">
        <v>2625</v>
      </c>
      <c r="L11" s="302"/>
    </row>
    <row r="12" spans="1:12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4"/>
    </row>
    <row r="13" spans="1:12" ht="19.149999999999999" customHeight="1">
      <c r="A13" s="305" t="s">
        <v>1</v>
      </c>
      <c r="B13" s="306"/>
      <c r="C13" s="308" t="s">
        <v>12</v>
      </c>
      <c r="D13" s="308"/>
      <c r="E13" s="308" t="s">
        <v>13</v>
      </c>
      <c r="F13" s="308"/>
      <c r="G13" s="308" t="s">
        <v>14</v>
      </c>
      <c r="H13" s="308"/>
      <c r="I13" s="309" t="s">
        <v>11</v>
      </c>
      <c r="J13" s="309"/>
      <c r="K13" s="310" t="s">
        <v>15</v>
      </c>
      <c r="L13" s="311"/>
    </row>
    <row r="14" spans="1:12" ht="18" customHeight="1">
      <c r="A14" s="296"/>
      <c r="B14" s="297"/>
      <c r="C14" s="5"/>
      <c r="D14" s="6"/>
      <c r="E14" s="9"/>
      <c r="F14" s="9"/>
      <c r="G14" s="7"/>
      <c r="H14" s="8"/>
      <c r="I14" s="7"/>
      <c r="J14" s="8"/>
      <c r="K14" s="36"/>
      <c r="L14" s="37"/>
    </row>
    <row r="15" spans="1:12" ht="18" customHeight="1">
      <c r="A15" s="296"/>
      <c r="B15" s="297"/>
      <c r="C15" s="5"/>
      <c r="D15" s="6"/>
      <c r="E15" s="9"/>
      <c r="F15" s="9"/>
      <c r="G15" s="7"/>
      <c r="H15" s="8"/>
      <c r="I15" s="7"/>
      <c r="J15" s="8"/>
      <c r="K15" s="38"/>
      <c r="L15" s="39"/>
    </row>
    <row r="16" spans="1:12" ht="18" customHeight="1" thickBot="1">
      <c r="A16" s="298"/>
      <c r="B16" s="299"/>
      <c r="C16" s="11"/>
      <c r="D16" s="10"/>
      <c r="E16" s="12"/>
      <c r="F16" s="13"/>
      <c r="G16" s="14"/>
      <c r="H16" s="13"/>
      <c r="I16" s="14"/>
      <c r="J16" s="13"/>
      <c r="K16" s="40"/>
      <c r="L16" s="41"/>
    </row>
    <row r="17" spans="1:17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Q17" s="1" t="s">
        <v>53</v>
      </c>
    </row>
    <row r="19" spans="1:17" ht="15" customHeight="1">
      <c r="A19" s="52" t="s">
        <v>24</v>
      </c>
    </row>
  </sheetData>
  <mergeCells count="37">
    <mergeCell ref="A1:L1"/>
    <mergeCell ref="A2:L2"/>
    <mergeCell ref="A3:B3"/>
    <mergeCell ref="C3:I3"/>
    <mergeCell ref="B4:D4"/>
    <mergeCell ref="E4:F4"/>
    <mergeCell ref="G4:H4"/>
    <mergeCell ref="K4:L4"/>
    <mergeCell ref="B5:D5"/>
    <mergeCell ref="E5:F5"/>
    <mergeCell ref="G5:H5"/>
    <mergeCell ref="K5:L5"/>
    <mergeCell ref="B6:D6"/>
    <mergeCell ref="E6:F6"/>
    <mergeCell ref="G6:H6"/>
    <mergeCell ref="K6:L6"/>
    <mergeCell ref="B7:D7"/>
    <mergeCell ref="E7:F7"/>
    <mergeCell ref="G7:H7"/>
    <mergeCell ref="K7:L7"/>
    <mergeCell ref="B8:D8"/>
    <mergeCell ref="E8:F8"/>
    <mergeCell ref="G8:H8"/>
    <mergeCell ref="K8:L8"/>
    <mergeCell ref="K13:L13"/>
    <mergeCell ref="A14:B16"/>
    <mergeCell ref="A17:L17"/>
    <mergeCell ref="K9:L9"/>
    <mergeCell ref="K10:L10"/>
    <mergeCell ref="B11:I11"/>
    <mergeCell ref="K11:L11"/>
    <mergeCell ref="A12:L12"/>
    <mergeCell ref="A13:B13"/>
    <mergeCell ref="C13:D13"/>
    <mergeCell ref="E13:F13"/>
    <mergeCell ref="G13:H13"/>
    <mergeCell ref="I13:J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9C2B3-F91B-423E-A1C1-14C495382D40}">
  <sheetPr codeName="工作表15"/>
  <dimension ref="A1:Q19"/>
  <sheetViews>
    <sheetView view="pageBreakPreview" topLeftCell="A2" zoomScale="115" zoomScaleNormal="100" zoomScaleSheetLayoutView="115" workbookViewId="0">
      <selection activeCell="B5" sqref="B5:D5"/>
    </sheetView>
  </sheetViews>
  <sheetFormatPr defaultColWidth="11.25" defaultRowHeight="15" customHeight="1"/>
  <cols>
    <col min="1" max="1" width="7.125" style="1" customWidth="1"/>
    <col min="2" max="2" width="10.5" style="1" customWidth="1"/>
    <col min="3" max="12" width="8.75" style="1" customWidth="1"/>
    <col min="13" max="13" width="6.875" style="1" customWidth="1"/>
    <col min="14" max="16384" width="11.25" style="1"/>
  </cols>
  <sheetData>
    <row r="1" spans="1:12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</row>
    <row r="2" spans="1:12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</row>
    <row r="3" spans="1:12" ht="48.75" customHeight="1" thickBot="1">
      <c r="A3" s="283" t="s">
        <v>10</v>
      </c>
      <c r="B3" s="284"/>
      <c r="C3" s="350" t="s">
        <v>43</v>
      </c>
      <c r="D3" s="351"/>
      <c r="E3" s="351"/>
      <c r="F3" s="351"/>
      <c r="G3" s="351"/>
      <c r="H3" s="351"/>
      <c r="I3" s="352"/>
      <c r="J3" s="99">
        <v>114</v>
      </c>
      <c r="K3" s="97">
        <v>3</v>
      </c>
      <c r="L3" s="98">
        <v>7</v>
      </c>
    </row>
    <row r="4" spans="1:12" ht="28.15" customHeight="1">
      <c r="A4" s="58" t="s">
        <v>26</v>
      </c>
      <c r="B4" s="288" t="s">
        <v>33</v>
      </c>
      <c r="C4" s="288"/>
      <c r="D4" s="289"/>
      <c r="E4" s="288" t="s">
        <v>31</v>
      </c>
      <c r="F4" s="289"/>
      <c r="G4" s="288" t="s">
        <v>34</v>
      </c>
      <c r="H4" s="289"/>
      <c r="I4" s="115" t="s">
        <v>27</v>
      </c>
      <c r="J4" s="115" t="s">
        <v>28</v>
      </c>
      <c r="K4" s="290" t="s">
        <v>32</v>
      </c>
      <c r="L4" s="291"/>
    </row>
    <row r="5" spans="1:12" ht="28.15" customHeight="1">
      <c r="A5" s="95">
        <v>1</v>
      </c>
      <c r="B5" s="345" t="s">
        <v>96</v>
      </c>
      <c r="C5" s="346"/>
      <c r="D5" s="347"/>
      <c r="E5" s="348" t="s">
        <v>97</v>
      </c>
      <c r="F5" s="349"/>
      <c r="G5" s="348" t="s">
        <v>98</v>
      </c>
      <c r="H5" s="349"/>
      <c r="I5" s="116">
        <v>1</v>
      </c>
      <c r="J5" s="94"/>
      <c r="K5" s="320">
        <v>500</v>
      </c>
      <c r="L5" s="271"/>
    </row>
    <row r="6" spans="1:12" ht="28.15" customHeight="1">
      <c r="A6" s="96">
        <v>2</v>
      </c>
      <c r="B6" s="340"/>
      <c r="C6" s="341"/>
      <c r="D6" s="342"/>
      <c r="E6" s="343"/>
      <c r="F6" s="342"/>
      <c r="G6" s="343"/>
      <c r="H6" s="342"/>
      <c r="I6" s="94"/>
      <c r="J6" s="103"/>
      <c r="K6" s="274"/>
      <c r="L6" s="275"/>
    </row>
    <row r="7" spans="1:12" ht="28.15" customHeight="1">
      <c r="A7" s="96">
        <v>3</v>
      </c>
      <c r="B7" s="340"/>
      <c r="C7" s="341"/>
      <c r="D7" s="342"/>
      <c r="E7" s="343"/>
      <c r="F7" s="342"/>
      <c r="G7" s="344"/>
      <c r="H7" s="342"/>
      <c r="I7" s="94"/>
      <c r="J7" s="94"/>
      <c r="K7" s="274"/>
      <c r="L7" s="275"/>
    </row>
    <row r="8" spans="1:12" ht="28.15" customHeight="1">
      <c r="A8" s="96">
        <v>3</v>
      </c>
      <c r="B8" s="340"/>
      <c r="C8" s="341"/>
      <c r="D8" s="342"/>
      <c r="E8" s="343"/>
      <c r="F8" s="342"/>
      <c r="G8" s="344"/>
      <c r="H8" s="342"/>
      <c r="I8" s="94"/>
      <c r="J8" s="94"/>
      <c r="K8" s="274"/>
      <c r="L8" s="275"/>
    </row>
    <row r="9" spans="1:12" ht="28.15" customHeight="1">
      <c r="A9" s="59"/>
      <c r="B9" s="56"/>
      <c r="C9" s="53"/>
      <c r="D9" s="62"/>
      <c r="E9" s="53"/>
      <c r="F9" s="62"/>
      <c r="G9" s="53"/>
      <c r="H9" s="61"/>
      <c r="I9" s="61"/>
      <c r="J9" s="65"/>
      <c r="K9" s="274"/>
      <c r="L9" s="275"/>
    </row>
    <row r="10" spans="1:12" ht="28.15" customHeight="1">
      <c r="A10" s="60"/>
      <c r="B10" s="54"/>
      <c r="C10" s="55"/>
      <c r="D10" s="63"/>
      <c r="E10" s="55"/>
      <c r="F10" s="63"/>
      <c r="G10" s="55"/>
      <c r="H10" s="64"/>
      <c r="I10" s="64"/>
      <c r="J10" s="100"/>
      <c r="K10" s="338"/>
      <c r="L10" s="339"/>
    </row>
    <row r="11" spans="1:12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67" t="s">
        <v>30</v>
      </c>
      <c r="K11" s="301">
        <v>500</v>
      </c>
      <c r="L11" s="302"/>
    </row>
    <row r="12" spans="1:12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4"/>
    </row>
    <row r="13" spans="1:12" ht="19.149999999999999" customHeight="1">
      <c r="A13" s="305" t="s">
        <v>1</v>
      </c>
      <c r="B13" s="306"/>
      <c r="C13" s="308" t="s">
        <v>12</v>
      </c>
      <c r="D13" s="308"/>
      <c r="E13" s="308" t="s">
        <v>13</v>
      </c>
      <c r="F13" s="308"/>
      <c r="G13" s="308" t="s">
        <v>14</v>
      </c>
      <c r="H13" s="308"/>
      <c r="I13" s="309" t="s">
        <v>11</v>
      </c>
      <c r="J13" s="309"/>
      <c r="K13" s="310" t="s">
        <v>15</v>
      </c>
      <c r="L13" s="311"/>
    </row>
    <row r="14" spans="1:12" ht="18" customHeight="1">
      <c r="A14" s="296"/>
      <c r="B14" s="297"/>
      <c r="C14" s="5"/>
      <c r="D14" s="6"/>
      <c r="E14" s="9"/>
      <c r="F14" s="9"/>
      <c r="G14" s="7"/>
      <c r="H14" s="8"/>
      <c r="I14" s="7"/>
      <c r="J14" s="8"/>
      <c r="K14" s="36"/>
      <c r="L14" s="37"/>
    </row>
    <row r="15" spans="1:12" ht="18" customHeight="1">
      <c r="A15" s="296"/>
      <c r="B15" s="297"/>
      <c r="C15" s="5"/>
      <c r="D15" s="6"/>
      <c r="E15" s="9"/>
      <c r="F15" s="9"/>
      <c r="G15" s="7"/>
      <c r="H15" s="8"/>
      <c r="I15" s="7"/>
      <c r="J15" s="8"/>
      <c r="K15" s="38"/>
      <c r="L15" s="39"/>
    </row>
    <row r="16" spans="1:12" ht="18" customHeight="1" thickBot="1">
      <c r="A16" s="298"/>
      <c r="B16" s="299"/>
      <c r="C16" s="11"/>
      <c r="D16" s="10"/>
      <c r="E16" s="12"/>
      <c r="F16" s="13"/>
      <c r="G16" s="14"/>
      <c r="H16" s="13"/>
      <c r="I16" s="14"/>
      <c r="J16" s="13"/>
      <c r="K16" s="40"/>
      <c r="L16" s="41"/>
    </row>
    <row r="17" spans="1:17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Q17" s="1" t="s">
        <v>53</v>
      </c>
    </row>
    <row r="19" spans="1:17" ht="15" customHeight="1">
      <c r="A19" s="52" t="s">
        <v>24</v>
      </c>
    </row>
  </sheetData>
  <mergeCells count="37">
    <mergeCell ref="A1:L1"/>
    <mergeCell ref="A2:L2"/>
    <mergeCell ref="A3:B3"/>
    <mergeCell ref="C3:I3"/>
    <mergeCell ref="B4:D4"/>
    <mergeCell ref="E4:F4"/>
    <mergeCell ref="G4:H4"/>
    <mergeCell ref="K4:L4"/>
    <mergeCell ref="B5:D5"/>
    <mergeCell ref="E5:F5"/>
    <mergeCell ref="G5:H5"/>
    <mergeCell ref="K5:L5"/>
    <mergeCell ref="B6:D6"/>
    <mergeCell ref="E6:F6"/>
    <mergeCell ref="G6:H6"/>
    <mergeCell ref="K6:L6"/>
    <mergeCell ref="B7:D7"/>
    <mergeCell ref="E7:F7"/>
    <mergeCell ref="G7:H7"/>
    <mergeCell ref="K7:L7"/>
    <mergeCell ref="B8:D8"/>
    <mergeCell ref="E8:F8"/>
    <mergeCell ref="G8:H8"/>
    <mergeCell ref="K8:L8"/>
    <mergeCell ref="K13:L13"/>
    <mergeCell ref="A14:B16"/>
    <mergeCell ref="A17:L17"/>
    <mergeCell ref="K9:L9"/>
    <mergeCell ref="K10:L10"/>
    <mergeCell ref="B11:I11"/>
    <mergeCell ref="K11:L11"/>
    <mergeCell ref="A12:L12"/>
    <mergeCell ref="A13:B13"/>
    <mergeCell ref="C13:D13"/>
    <mergeCell ref="E13:F13"/>
    <mergeCell ref="G13:H13"/>
    <mergeCell ref="I13:J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65D2-818F-47A9-878E-07D77E76A72F}">
  <sheetPr codeName="工作表12"/>
  <dimension ref="A1:Q19"/>
  <sheetViews>
    <sheetView view="pageBreakPreview" zoomScale="115" zoomScaleNormal="100" zoomScaleSheetLayoutView="115" workbookViewId="0">
      <selection activeCell="J3" sqref="J3"/>
    </sheetView>
  </sheetViews>
  <sheetFormatPr defaultColWidth="11.25" defaultRowHeight="15" customHeight="1"/>
  <cols>
    <col min="1" max="1" width="7.125" style="1" customWidth="1"/>
    <col min="2" max="2" width="10.5" style="1" customWidth="1"/>
    <col min="3" max="12" width="8.75" style="1" customWidth="1"/>
    <col min="13" max="13" width="6.875" style="1" customWidth="1"/>
    <col min="14" max="16384" width="11.25" style="1"/>
  </cols>
  <sheetData>
    <row r="1" spans="1:12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</row>
    <row r="2" spans="1:12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</row>
    <row r="3" spans="1:12" ht="48.75" customHeight="1" thickBot="1">
      <c r="A3" s="283" t="s">
        <v>10</v>
      </c>
      <c r="B3" s="284"/>
      <c r="C3" s="350" t="s">
        <v>43</v>
      </c>
      <c r="D3" s="351"/>
      <c r="E3" s="351"/>
      <c r="F3" s="351"/>
      <c r="G3" s="351"/>
      <c r="H3" s="351"/>
      <c r="I3" s="352"/>
      <c r="J3" s="99">
        <v>114</v>
      </c>
      <c r="K3" s="97">
        <v>3</v>
      </c>
      <c r="L3" s="98">
        <v>7</v>
      </c>
    </row>
    <row r="4" spans="1:12" ht="28.15" customHeight="1">
      <c r="A4" s="58" t="s">
        <v>26</v>
      </c>
      <c r="B4" s="288" t="s">
        <v>33</v>
      </c>
      <c r="C4" s="288"/>
      <c r="D4" s="289"/>
      <c r="E4" s="288" t="s">
        <v>31</v>
      </c>
      <c r="F4" s="289"/>
      <c r="G4" s="288" t="s">
        <v>34</v>
      </c>
      <c r="H4" s="289"/>
      <c r="I4" s="113" t="s">
        <v>27</v>
      </c>
      <c r="J4" s="113" t="s">
        <v>28</v>
      </c>
      <c r="K4" s="290" t="s">
        <v>32</v>
      </c>
      <c r="L4" s="291"/>
    </row>
    <row r="5" spans="1:12" ht="28.15" customHeight="1">
      <c r="A5" s="95">
        <v>1</v>
      </c>
      <c r="B5" s="345" t="s">
        <v>94</v>
      </c>
      <c r="C5" s="346"/>
      <c r="D5" s="347"/>
      <c r="E5" s="353" t="s">
        <v>93</v>
      </c>
      <c r="F5" s="354"/>
      <c r="G5" s="348"/>
      <c r="H5" s="349"/>
      <c r="I5" s="114">
        <v>21</v>
      </c>
      <c r="J5" s="94"/>
      <c r="K5" s="320">
        <v>104583</v>
      </c>
      <c r="L5" s="271"/>
    </row>
    <row r="6" spans="1:12" ht="28.15" customHeight="1">
      <c r="A6" s="96">
        <v>2</v>
      </c>
      <c r="B6" s="340" t="s">
        <v>95</v>
      </c>
      <c r="C6" s="355"/>
      <c r="D6" s="355"/>
      <c r="E6" s="355"/>
      <c r="F6" s="356"/>
      <c r="G6" s="343"/>
      <c r="H6" s="342"/>
      <c r="I6" s="94"/>
      <c r="J6" s="103"/>
      <c r="K6" s="274"/>
      <c r="L6" s="275"/>
    </row>
    <row r="7" spans="1:12" ht="28.15" customHeight="1">
      <c r="A7" s="96">
        <v>3</v>
      </c>
      <c r="B7" s="340"/>
      <c r="C7" s="341"/>
      <c r="D7" s="342"/>
      <c r="E7" s="343"/>
      <c r="F7" s="342"/>
      <c r="G7" s="344"/>
      <c r="H7" s="342"/>
      <c r="I7" s="94"/>
      <c r="J7" s="94"/>
      <c r="K7" s="274"/>
      <c r="L7" s="275"/>
    </row>
    <row r="8" spans="1:12" ht="28.15" customHeight="1">
      <c r="A8" s="96">
        <v>3</v>
      </c>
      <c r="B8" s="340"/>
      <c r="C8" s="341"/>
      <c r="D8" s="342"/>
      <c r="E8" s="343"/>
      <c r="F8" s="342"/>
      <c r="G8" s="344"/>
      <c r="H8" s="342"/>
      <c r="I8" s="94"/>
      <c r="J8" s="94"/>
      <c r="K8" s="274"/>
      <c r="L8" s="275"/>
    </row>
    <row r="9" spans="1:12" ht="28.15" customHeight="1">
      <c r="A9" s="59"/>
      <c r="B9" s="56"/>
      <c r="C9" s="53"/>
      <c r="D9" s="62"/>
      <c r="E9" s="53"/>
      <c r="F9" s="62"/>
      <c r="G9" s="53"/>
      <c r="H9" s="61"/>
      <c r="I9" s="61"/>
      <c r="J9" s="65"/>
      <c r="K9" s="274"/>
      <c r="L9" s="275"/>
    </row>
    <row r="10" spans="1:12" ht="28.15" customHeight="1">
      <c r="A10" s="60"/>
      <c r="B10" s="54"/>
      <c r="C10" s="55"/>
      <c r="D10" s="63"/>
      <c r="E10" s="55"/>
      <c r="F10" s="63"/>
      <c r="G10" s="55"/>
      <c r="H10" s="64"/>
      <c r="I10" s="64"/>
      <c r="J10" s="100"/>
      <c r="K10" s="338"/>
      <c r="L10" s="339"/>
    </row>
    <row r="11" spans="1:12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67" t="s">
        <v>30</v>
      </c>
      <c r="K11" s="301">
        <v>104583</v>
      </c>
      <c r="L11" s="302"/>
    </row>
    <row r="12" spans="1:12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4"/>
    </row>
    <row r="13" spans="1:12" ht="19.149999999999999" customHeight="1">
      <c r="A13" s="305" t="s">
        <v>1</v>
      </c>
      <c r="B13" s="306"/>
      <c r="C13" s="308" t="s">
        <v>12</v>
      </c>
      <c r="D13" s="308"/>
      <c r="E13" s="308" t="s">
        <v>13</v>
      </c>
      <c r="F13" s="308"/>
      <c r="G13" s="308" t="s">
        <v>14</v>
      </c>
      <c r="H13" s="308"/>
      <c r="I13" s="309" t="s">
        <v>11</v>
      </c>
      <c r="J13" s="309"/>
      <c r="K13" s="310" t="s">
        <v>15</v>
      </c>
      <c r="L13" s="311"/>
    </row>
    <row r="14" spans="1:12" ht="18" customHeight="1">
      <c r="A14" s="296"/>
      <c r="B14" s="297"/>
      <c r="C14" s="5"/>
      <c r="D14" s="6"/>
      <c r="E14" s="9"/>
      <c r="F14" s="9"/>
      <c r="G14" s="7"/>
      <c r="H14" s="8"/>
      <c r="I14" s="7"/>
      <c r="J14" s="8"/>
      <c r="K14" s="36"/>
      <c r="L14" s="37"/>
    </row>
    <row r="15" spans="1:12" ht="18" customHeight="1">
      <c r="A15" s="296"/>
      <c r="B15" s="297"/>
      <c r="C15" s="5"/>
      <c r="D15" s="6"/>
      <c r="E15" s="9"/>
      <c r="F15" s="9"/>
      <c r="G15" s="7"/>
      <c r="H15" s="8"/>
      <c r="I15" s="7"/>
      <c r="J15" s="8"/>
      <c r="K15" s="38"/>
      <c r="L15" s="39"/>
    </row>
    <row r="16" spans="1:12" ht="18" customHeight="1" thickBot="1">
      <c r="A16" s="298"/>
      <c r="B16" s="299"/>
      <c r="C16" s="11"/>
      <c r="D16" s="10"/>
      <c r="E16" s="12"/>
      <c r="F16" s="13"/>
      <c r="G16" s="14"/>
      <c r="H16" s="13"/>
      <c r="I16" s="14"/>
      <c r="J16" s="13"/>
      <c r="K16" s="40"/>
      <c r="L16" s="41"/>
    </row>
    <row r="17" spans="1:17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Q17" s="1" t="s">
        <v>53</v>
      </c>
    </row>
    <row r="19" spans="1:17" ht="15" customHeight="1">
      <c r="A19" s="52" t="s">
        <v>24</v>
      </c>
    </row>
  </sheetData>
  <mergeCells count="36">
    <mergeCell ref="K13:L13"/>
    <mergeCell ref="A14:B16"/>
    <mergeCell ref="A17:L17"/>
    <mergeCell ref="K9:L9"/>
    <mergeCell ref="K10:L10"/>
    <mergeCell ref="B11:I11"/>
    <mergeCell ref="K11:L11"/>
    <mergeCell ref="A12:L12"/>
    <mergeCell ref="A13:B13"/>
    <mergeCell ref="C13:D13"/>
    <mergeCell ref="E13:F13"/>
    <mergeCell ref="G13:H13"/>
    <mergeCell ref="I13:J13"/>
    <mergeCell ref="B7:D7"/>
    <mergeCell ref="E7:F7"/>
    <mergeCell ref="G7:H7"/>
    <mergeCell ref="K7:L7"/>
    <mergeCell ref="B8:D8"/>
    <mergeCell ref="E8:F8"/>
    <mergeCell ref="G8:H8"/>
    <mergeCell ref="K8:L8"/>
    <mergeCell ref="B5:D5"/>
    <mergeCell ref="E5:F5"/>
    <mergeCell ref="G5:H5"/>
    <mergeCell ref="K5:L5"/>
    <mergeCell ref="B6:F6"/>
    <mergeCell ref="G6:H6"/>
    <mergeCell ref="K6:L6"/>
    <mergeCell ref="A1:L1"/>
    <mergeCell ref="A2:L2"/>
    <mergeCell ref="A3:B3"/>
    <mergeCell ref="C3:I3"/>
    <mergeCell ref="B4:D4"/>
    <mergeCell ref="E4:F4"/>
    <mergeCell ref="G4:H4"/>
    <mergeCell ref="K4:L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ECA9-DD3F-4896-ABAE-9773ED497B73}">
  <sheetPr codeName="工作表59"/>
  <dimension ref="A1:Q19"/>
  <sheetViews>
    <sheetView view="pageBreakPreview" zoomScale="115" zoomScaleNormal="100" zoomScaleSheetLayoutView="115" workbookViewId="0">
      <selection activeCell="J3" sqref="J3"/>
    </sheetView>
  </sheetViews>
  <sheetFormatPr defaultColWidth="11.25" defaultRowHeight="15" customHeight="1"/>
  <cols>
    <col min="1" max="1" width="7.125" style="1" customWidth="1"/>
    <col min="2" max="2" width="10.5" style="1" customWidth="1"/>
    <col min="3" max="12" width="8.75" style="1" customWidth="1"/>
    <col min="13" max="13" width="6.875" style="1" customWidth="1"/>
    <col min="14" max="16384" width="11.25" style="1"/>
  </cols>
  <sheetData>
    <row r="1" spans="1:12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</row>
    <row r="2" spans="1:12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</row>
    <row r="3" spans="1:12" ht="48.75" customHeight="1" thickBot="1">
      <c r="A3" s="283" t="s">
        <v>10</v>
      </c>
      <c r="B3" s="284"/>
      <c r="C3" s="350" t="s">
        <v>43</v>
      </c>
      <c r="D3" s="351"/>
      <c r="E3" s="351"/>
      <c r="F3" s="351"/>
      <c r="G3" s="351"/>
      <c r="H3" s="351"/>
      <c r="I3" s="352"/>
      <c r="J3" s="99">
        <v>115</v>
      </c>
      <c r="K3" s="97">
        <v>1</v>
      </c>
      <c r="L3" s="98">
        <v>21</v>
      </c>
    </row>
    <row r="4" spans="1:12" ht="28.15" customHeight="1">
      <c r="A4" s="58" t="s">
        <v>26</v>
      </c>
      <c r="B4" s="288" t="s">
        <v>33</v>
      </c>
      <c r="C4" s="288"/>
      <c r="D4" s="289"/>
      <c r="E4" s="288" t="s">
        <v>31</v>
      </c>
      <c r="F4" s="289"/>
      <c r="G4" s="288" t="s">
        <v>34</v>
      </c>
      <c r="H4" s="289"/>
      <c r="I4" s="202" t="s">
        <v>27</v>
      </c>
      <c r="J4" s="202" t="s">
        <v>28</v>
      </c>
      <c r="K4" s="290" t="s">
        <v>32</v>
      </c>
      <c r="L4" s="291"/>
    </row>
    <row r="5" spans="1:12" ht="28.15" customHeight="1">
      <c r="A5" s="95">
        <v>1</v>
      </c>
      <c r="B5" s="345" t="s">
        <v>94</v>
      </c>
      <c r="C5" s="346"/>
      <c r="D5" s="347"/>
      <c r="E5" s="353" t="s">
        <v>93</v>
      </c>
      <c r="F5" s="354"/>
      <c r="G5" s="348"/>
      <c r="H5" s="349"/>
      <c r="I5" s="203">
        <v>21</v>
      </c>
      <c r="J5" s="94"/>
      <c r="K5" s="320">
        <v>116424</v>
      </c>
      <c r="L5" s="271"/>
    </row>
    <row r="6" spans="1:12" ht="28.15" customHeight="1">
      <c r="A6" s="96">
        <v>2</v>
      </c>
      <c r="B6" s="340" t="s">
        <v>310</v>
      </c>
      <c r="C6" s="355"/>
      <c r="D6" s="355"/>
      <c r="E6" s="355"/>
      <c r="F6" s="356"/>
      <c r="G6" s="343"/>
      <c r="H6" s="342"/>
      <c r="I6" s="94"/>
      <c r="J6" s="103"/>
      <c r="K6" s="274"/>
      <c r="L6" s="275"/>
    </row>
    <row r="7" spans="1:12" ht="28.15" customHeight="1">
      <c r="A7" s="96">
        <v>3</v>
      </c>
      <c r="B7" s="340"/>
      <c r="C7" s="341"/>
      <c r="D7" s="342"/>
      <c r="E7" s="343"/>
      <c r="F7" s="342"/>
      <c r="G7" s="344"/>
      <c r="H7" s="342"/>
      <c r="I7" s="94"/>
      <c r="J7" s="94"/>
      <c r="K7" s="274"/>
      <c r="L7" s="275"/>
    </row>
    <row r="8" spans="1:12" ht="28.15" customHeight="1">
      <c r="A8" s="96">
        <v>3</v>
      </c>
      <c r="B8" s="340"/>
      <c r="C8" s="341"/>
      <c r="D8" s="342"/>
      <c r="E8" s="343"/>
      <c r="F8" s="342"/>
      <c r="G8" s="344"/>
      <c r="H8" s="342"/>
      <c r="I8" s="94"/>
      <c r="J8" s="94"/>
      <c r="K8" s="274"/>
      <c r="L8" s="275"/>
    </row>
    <row r="9" spans="1:12" ht="28.15" customHeight="1">
      <c r="A9" s="59"/>
      <c r="B9" s="56"/>
      <c r="C9" s="53"/>
      <c r="D9" s="62"/>
      <c r="E9" s="53"/>
      <c r="F9" s="62"/>
      <c r="G9" s="53"/>
      <c r="H9" s="61"/>
      <c r="I9" s="61"/>
      <c r="J9" s="65"/>
      <c r="K9" s="274"/>
      <c r="L9" s="275"/>
    </row>
    <row r="10" spans="1:12" ht="28.15" customHeight="1">
      <c r="A10" s="60"/>
      <c r="B10" s="54"/>
      <c r="C10" s="55"/>
      <c r="D10" s="63"/>
      <c r="E10" s="55"/>
      <c r="F10" s="63"/>
      <c r="G10" s="55"/>
      <c r="H10" s="64"/>
      <c r="I10" s="64"/>
      <c r="J10" s="100"/>
      <c r="K10" s="338"/>
      <c r="L10" s="339"/>
    </row>
    <row r="11" spans="1:12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67" t="s">
        <v>30</v>
      </c>
      <c r="K11" s="301">
        <v>116424</v>
      </c>
      <c r="L11" s="302"/>
    </row>
    <row r="12" spans="1:12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4"/>
    </row>
    <row r="13" spans="1:12" ht="19.149999999999999" customHeight="1">
      <c r="A13" s="305" t="s">
        <v>1</v>
      </c>
      <c r="B13" s="306"/>
      <c r="C13" s="308" t="s">
        <v>12</v>
      </c>
      <c r="D13" s="308"/>
      <c r="E13" s="308" t="s">
        <v>13</v>
      </c>
      <c r="F13" s="308"/>
      <c r="G13" s="308" t="s">
        <v>14</v>
      </c>
      <c r="H13" s="308"/>
      <c r="I13" s="309" t="s">
        <v>11</v>
      </c>
      <c r="J13" s="309"/>
      <c r="K13" s="310" t="s">
        <v>15</v>
      </c>
      <c r="L13" s="311"/>
    </row>
    <row r="14" spans="1:12" ht="18" customHeight="1">
      <c r="A14" s="296"/>
      <c r="B14" s="297"/>
      <c r="C14" s="5"/>
      <c r="D14" s="6"/>
      <c r="E14" s="9"/>
      <c r="F14" s="9"/>
      <c r="G14" s="7"/>
      <c r="H14" s="8"/>
      <c r="I14" s="7"/>
      <c r="J14" s="8"/>
      <c r="K14" s="36"/>
      <c r="L14" s="37"/>
    </row>
    <row r="15" spans="1:12" ht="18" customHeight="1">
      <c r="A15" s="296"/>
      <c r="B15" s="297"/>
      <c r="C15" s="5"/>
      <c r="D15" s="6"/>
      <c r="E15" s="9"/>
      <c r="F15" s="9"/>
      <c r="G15" s="7"/>
      <c r="H15" s="8"/>
      <c r="I15" s="7"/>
      <c r="J15" s="8"/>
      <c r="K15" s="38"/>
      <c r="L15" s="39"/>
    </row>
    <row r="16" spans="1:12" ht="18" customHeight="1" thickBot="1">
      <c r="A16" s="298"/>
      <c r="B16" s="299"/>
      <c r="C16" s="11"/>
      <c r="D16" s="10"/>
      <c r="E16" s="12"/>
      <c r="F16" s="13"/>
      <c r="G16" s="14"/>
      <c r="H16" s="13"/>
      <c r="I16" s="14"/>
      <c r="J16" s="13"/>
      <c r="K16" s="40"/>
      <c r="L16" s="41"/>
    </row>
    <row r="17" spans="1:17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Q17" s="1" t="s">
        <v>53</v>
      </c>
    </row>
    <row r="19" spans="1:17" ht="15" customHeight="1">
      <c r="A19" s="52" t="s">
        <v>24</v>
      </c>
    </row>
  </sheetData>
  <mergeCells count="36">
    <mergeCell ref="K13:L13"/>
    <mergeCell ref="A14:B16"/>
    <mergeCell ref="A17:L17"/>
    <mergeCell ref="K9:L9"/>
    <mergeCell ref="K10:L10"/>
    <mergeCell ref="B11:I11"/>
    <mergeCell ref="K11:L11"/>
    <mergeCell ref="A12:L12"/>
    <mergeCell ref="A13:B13"/>
    <mergeCell ref="C13:D13"/>
    <mergeCell ref="E13:F13"/>
    <mergeCell ref="G13:H13"/>
    <mergeCell ref="I13:J13"/>
    <mergeCell ref="B7:D7"/>
    <mergeCell ref="E7:F7"/>
    <mergeCell ref="G7:H7"/>
    <mergeCell ref="K7:L7"/>
    <mergeCell ref="B8:D8"/>
    <mergeCell ref="E8:F8"/>
    <mergeCell ref="G8:H8"/>
    <mergeCell ref="K8:L8"/>
    <mergeCell ref="B5:D5"/>
    <mergeCell ref="E5:F5"/>
    <mergeCell ref="G5:H5"/>
    <mergeCell ref="K5:L5"/>
    <mergeCell ref="B6:F6"/>
    <mergeCell ref="G6:H6"/>
    <mergeCell ref="K6:L6"/>
    <mergeCell ref="A1:L1"/>
    <mergeCell ref="A2:L2"/>
    <mergeCell ref="A3:B3"/>
    <mergeCell ref="C3:I3"/>
    <mergeCell ref="B4:D4"/>
    <mergeCell ref="E4:F4"/>
    <mergeCell ref="G4:H4"/>
    <mergeCell ref="K4:L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D32E-32A1-443A-A102-852D6DCA6481}">
  <sheetPr codeName="工作表11"/>
  <dimension ref="A1:O20"/>
  <sheetViews>
    <sheetView view="pageBreakPreview" zoomScale="70" zoomScaleNormal="100" zoomScaleSheetLayoutView="70" workbookViewId="0">
      <selection activeCell="B3" sqref="B3:C4"/>
    </sheetView>
  </sheetViews>
  <sheetFormatPr defaultRowHeight="16.5"/>
  <cols>
    <col min="1" max="4" width="17.25" style="2" customWidth="1"/>
    <col min="5" max="10" width="4.375" style="2" customWidth="1"/>
    <col min="11" max="255" width="9" style="2"/>
    <col min="256" max="256" width="15.5" style="2" customWidth="1"/>
    <col min="257" max="257" width="43.5" style="2" customWidth="1"/>
    <col min="258" max="266" width="3.75" style="2" customWidth="1"/>
    <col min="267" max="511" width="9" style="2"/>
    <col min="512" max="512" width="15.5" style="2" customWidth="1"/>
    <col min="513" max="513" width="43.5" style="2" customWidth="1"/>
    <col min="514" max="522" width="3.75" style="2" customWidth="1"/>
    <col min="523" max="767" width="9" style="2"/>
    <col min="768" max="768" width="15.5" style="2" customWidth="1"/>
    <col min="769" max="769" width="43.5" style="2" customWidth="1"/>
    <col min="770" max="778" width="3.75" style="2" customWidth="1"/>
    <col min="779" max="1023" width="9" style="2"/>
    <col min="1024" max="1024" width="15.5" style="2" customWidth="1"/>
    <col min="1025" max="1025" width="43.5" style="2" customWidth="1"/>
    <col min="1026" max="1034" width="3.75" style="2" customWidth="1"/>
    <col min="1035" max="1279" width="9" style="2"/>
    <col min="1280" max="1280" width="15.5" style="2" customWidth="1"/>
    <col min="1281" max="1281" width="43.5" style="2" customWidth="1"/>
    <col min="1282" max="1290" width="3.75" style="2" customWidth="1"/>
    <col min="1291" max="1535" width="9" style="2"/>
    <col min="1536" max="1536" width="15.5" style="2" customWidth="1"/>
    <col min="1537" max="1537" width="43.5" style="2" customWidth="1"/>
    <col min="1538" max="1546" width="3.75" style="2" customWidth="1"/>
    <col min="1547" max="1791" width="9" style="2"/>
    <col min="1792" max="1792" width="15.5" style="2" customWidth="1"/>
    <col min="1793" max="1793" width="43.5" style="2" customWidth="1"/>
    <col min="1794" max="1802" width="3.75" style="2" customWidth="1"/>
    <col min="1803" max="2047" width="9" style="2"/>
    <col min="2048" max="2048" width="15.5" style="2" customWidth="1"/>
    <col min="2049" max="2049" width="43.5" style="2" customWidth="1"/>
    <col min="2050" max="2058" width="3.75" style="2" customWidth="1"/>
    <col min="2059" max="2303" width="9" style="2"/>
    <col min="2304" max="2304" width="15.5" style="2" customWidth="1"/>
    <col min="2305" max="2305" width="43.5" style="2" customWidth="1"/>
    <col min="2306" max="2314" width="3.75" style="2" customWidth="1"/>
    <col min="2315" max="2559" width="9" style="2"/>
    <col min="2560" max="2560" width="15.5" style="2" customWidth="1"/>
    <col min="2561" max="2561" width="43.5" style="2" customWidth="1"/>
    <col min="2562" max="2570" width="3.75" style="2" customWidth="1"/>
    <col min="2571" max="2815" width="9" style="2"/>
    <col min="2816" max="2816" width="15.5" style="2" customWidth="1"/>
    <col min="2817" max="2817" width="43.5" style="2" customWidth="1"/>
    <col min="2818" max="2826" width="3.75" style="2" customWidth="1"/>
    <col min="2827" max="3071" width="9" style="2"/>
    <col min="3072" max="3072" width="15.5" style="2" customWidth="1"/>
    <col min="3073" max="3073" width="43.5" style="2" customWidth="1"/>
    <col min="3074" max="3082" width="3.75" style="2" customWidth="1"/>
    <col min="3083" max="3327" width="9" style="2"/>
    <col min="3328" max="3328" width="15.5" style="2" customWidth="1"/>
    <col min="3329" max="3329" width="43.5" style="2" customWidth="1"/>
    <col min="3330" max="3338" width="3.75" style="2" customWidth="1"/>
    <col min="3339" max="3583" width="9" style="2"/>
    <col min="3584" max="3584" width="15.5" style="2" customWidth="1"/>
    <col min="3585" max="3585" width="43.5" style="2" customWidth="1"/>
    <col min="3586" max="3594" width="3.75" style="2" customWidth="1"/>
    <col min="3595" max="3839" width="9" style="2"/>
    <col min="3840" max="3840" width="15.5" style="2" customWidth="1"/>
    <col min="3841" max="3841" width="43.5" style="2" customWidth="1"/>
    <col min="3842" max="3850" width="3.75" style="2" customWidth="1"/>
    <col min="3851" max="4095" width="9" style="2"/>
    <col min="4096" max="4096" width="15.5" style="2" customWidth="1"/>
    <col min="4097" max="4097" width="43.5" style="2" customWidth="1"/>
    <col min="4098" max="4106" width="3.75" style="2" customWidth="1"/>
    <col min="4107" max="4351" width="9" style="2"/>
    <col min="4352" max="4352" width="15.5" style="2" customWidth="1"/>
    <col min="4353" max="4353" width="43.5" style="2" customWidth="1"/>
    <col min="4354" max="4362" width="3.75" style="2" customWidth="1"/>
    <col min="4363" max="4607" width="9" style="2"/>
    <col min="4608" max="4608" width="15.5" style="2" customWidth="1"/>
    <col min="4609" max="4609" width="43.5" style="2" customWidth="1"/>
    <col min="4610" max="4618" width="3.75" style="2" customWidth="1"/>
    <col min="4619" max="4863" width="9" style="2"/>
    <col min="4864" max="4864" width="15.5" style="2" customWidth="1"/>
    <col min="4865" max="4865" width="43.5" style="2" customWidth="1"/>
    <col min="4866" max="4874" width="3.75" style="2" customWidth="1"/>
    <col min="4875" max="5119" width="9" style="2"/>
    <col min="5120" max="5120" width="15.5" style="2" customWidth="1"/>
    <col min="5121" max="5121" width="43.5" style="2" customWidth="1"/>
    <col min="5122" max="5130" width="3.75" style="2" customWidth="1"/>
    <col min="5131" max="5375" width="9" style="2"/>
    <col min="5376" max="5376" width="15.5" style="2" customWidth="1"/>
    <col min="5377" max="5377" width="43.5" style="2" customWidth="1"/>
    <col min="5378" max="5386" width="3.75" style="2" customWidth="1"/>
    <col min="5387" max="5631" width="9" style="2"/>
    <col min="5632" max="5632" width="15.5" style="2" customWidth="1"/>
    <col min="5633" max="5633" width="43.5" style="2" customWidth="1"/>
    <col min="5634" max="5642" width="3.75" style="2" customWidth="1"/>
    <col min="5643" max="5887" width="9" style="2"/>
    <col min="5888" max="5888" width="15.5" style="2" customWidth="1"/>
    <col min="5889" max="5889" width="43.5" style="2" customWidth="1"/>
    <col min="5890" max="5898" width="3.75" style="2" customWidth="1"/>
    <col min="5899" max="6143" width="9" style="2"/>
    <col min="6144" max="6144" width="15.5" style="2" customWidth="1"/>
    <col min="6145" max="6145" width="43.5" style="2" customWidth="1"/>
    <col min="6146" max="6154" width="3.75" style="2" customWidth="1"/>
    <col min="6155" max="6399" width="9" style="2"/>
    <col min="6400" max="6400" width="15.5" style="2" customWidth="1"/>
    <col min="6401" max="6401" width="43.5" style="2" customWidth="1"/>
    <col min="6402" max="6410" width="3.75" style="2" customWidth="1"/>
    <col min="6411" max="6655" width="9" style="2"/>
    <col min="6656" max="6656" width="15.5" style="2" customWidth="1"/>
    <col min="6657" max="6657" width="43.5" style="2" customWidth="1"/>
    <col min="6658" max="6666" width="3.75" style="2" customWidth="1"/>
    <col min="6667" max="6911" width="9" style="2"/>
    <col min="6912" max="6912" width="15.5" style="2" customWidth="1"/>
    <col min="6913" max="6913" width="43.5" style="2" customWidth="1"/>
    <col min="6914" max="6922" width="3.75" style="2" customWidth="1"/>
    <col min="6923" max="7167" width="9" style="2"/>
    <col min="7168" max="7168" width="15.5" style="2" customWidth="1"/>
    <col min="7169" max="7169" width="43.5" style="2" customWidth="1"/>
    <col min="7170" max="7178" width="3.75" style="2" customWidth="1"/>
    <col min="7179" max="7423" width="9" style="2"/>
    <col min="7424" max="7424" width="15.5" style="2" customWidth="1"/>
    <col min="7425" max="7425" width="43.5" style="2" customWidth="1"/>
    <col min="7426" max="7434" width="3.75" style="2" customWidth="1"/>
    <col min="7435" max="7679" width="9" style="2"/>
    <col min="7680" max="7680" width="15.5" style="2" customWidth="1"/>
    <col min="7681" max="7681" width="43.5" style="2" customWidth="1"/>
    <col min="7682" max="7690" width="3.75" style="2" customWidth="1"/>
    <col min="7691" max="7935" width="9" style="2"/>
    <col min="7936" max="7936" width="15.5" style="2" customWidth="1"/>
    <col min="7937" max="7937" width="43.5" style="2" customWidth="1"/>
    <col min="7938" max="7946" width="3.75" style="2" customWidth="1"/>
    <col min="7947" max="8191" width="9" style="2"/>
    <col min="8192" max="8192" width="15.5" style="2" customWidth="1"/>
    <col min="8193" max="8193" width="43.5" style="2" customWidth="1"/>
    <col min="8194" max="8202" width="3.75" style="2" customWidth="1"/>
    <col min="8203" max="8447" width="9" style="2"/>
    <col min="8448" max="8448" width="15.5" style="2" customWidth="1"/>
    <col min="8449" max="8449" width="43.5" style="2" customWidth="1"/>
    <col min="8450" max="8458" width="3.75" style="2" customWidth="1"/>
    <col min="8459" max="8703" width="9" style="2"/>
    <col min="8704" max="8704" width="15.5" style="2" customWidth="1"/>
    <col min="8705" max="8705" width="43.5" style="2" customWidth="1"/>
    <col min="8706" max="8714" width="3.75" style="2" customWidth="1"/>
    <col min="8715" max="8959" width="9" style="2"/>
    <col min="8960" max="8960" width="15.5" style="2" customWidth="1"/>
    <col min="8961" max="8961" width="43.5" style="2" customWidth="1"/>
    <col min="8962" max="8970" width="3.75" style="2" customWidth="1"/>
    <col min="8971" max="9215" width="9" style="2"/>
    <col min="9216" max="9216" width="15.5" style="2" customWidth="1"/>
    <col min="9217" max="9217" width="43.5" style="2" customWidth="1"/>
    <col min="9218" max="9226" width="3.75" style="2" customWidth="1"/>
    <col min="9227" max="9471" width="9" style="2"/>
    <col min="9472" max="9472" width="15.5" style="2" customWidth="1"/>
    <col min="9473" max="9473" width="43.5" style="2" customWidth="1"/>
    <col min="9474" max="9482" width="3.75" style="2" customWidth="1"/>
    <col min="9483" max="9727" width="9" style="2"/>
    <col min="9728" max="9728" width="15.5" style="2" customWidth="1"/>
    <col min="9729" max="9729" width="43.5" style="2" customWidth="1"/>
    <col min="9730" max="9738" width="3.75" style="2" customWidth="1"/>
    <col min="9739" max="9983" width="9" style="2"/>
    <col min="9984" max="9984" width="15.5" style="2" customWidth="1"/>
    <col min="9985" max="9985" width="43.5" style="2" customWidth="1"/>
    <col min="9986" max="9994" width="3.75" style="2" customWidth="1"/>
    <col min="9995" max="10239" width="9" style="2"/>
    <col min="10240" max="10240" width="15.5" style="2" customWidth="1"/>
    <col min="10241" max="10241" width="43.5" style="2" customWidth="1"/>
    <col min="10242" max="10250" width="3.75" style="2" customWidth="1"/>
    <col min="10251" max="10495" width="9" style="2"/>
    <col min="10496" max="10496" width="15.5" style="2" customWidth="1"/>
    <col min="10497" max="10497" width="43.5" style="2" customWidth="1"/>
    <col min="10498" max="10506" width="3.75" style="2" customWidth="1"/>
    <col min="10507" max="10751" width="9" style="2"/>
    <col min="10752" max="10752" width="15.5" style="2" customWidth="1"/>
    <col min="10753" max="10753" width="43.5" style="2" customWidth="1"/>
    <col min="10754" max="10762" width="3.75" style="2" customWidth="1"/>
    <col min="10763" max="11007" width="9" style="2"/>
    <col min="11008" max="11008" width="15.5" style="2" customWidth="1"/>
    <col min="11009" max="11009" width="43.5" style="2" customWidth="1"/>
    <col min="11010" max="11018" width="3.75" style="2" customWidth="1"/>
    <col min="11019" max="11263" width="9" style="2"/>
    <col min="11264" max="11264" width="15.5" style="2" customWidth="1"/>
    <col min="11265" max="11265" width="43.5" style="2" customWidth="1"/>
    <col min="11266" max="11274" width="3.75" style="2" customWidth="1"/>
    <col min="11275" max="11519" width="9" style="2"/>
    <col min="11520" max="11520" width="15.5" style="2" customWidth="1"/>
    <col min="11521" max="11521" width="43.5" style="2" customWidth="1"/>
    <col min="11522" max="11530" width="3.75" style="2" customWidth="1"/>
    <col min="11531" max="11775" width="9" style="2"/>
    <col min="11776" max="11776" width="15.5" style="2" customWidth="1"/>
    <col min="11777" max="11777" width="43.5" style="2" customWidth="1"/>
    <col min="11778" max="11786" width="3.75" style="2" customWidth="1"/>
    <col min="11787" max="12031" width="9" style="2"/>
    <col min="12032" max="12032" width="15.5" style="2" customWidth="1"/>
    <col min="12033" max="12033" width="43.5" style="2" customWidth="1"/>
    <col min="12034" max="12042" width="3.75" style="2" customWidth="1"/>
    <col min="12043" max="12287" width="9" style="2"/>
    <col min="12288" max="12288" width="15.5" style="2" customWidth="1"/>
    <col min="12289" max="12289" width="43.5" style="2" customWidth="1"/>
    <col min="12290" max="12298" width="3.75" style="2" customWidth="1"/>
    <col min="12299" max="12543" width="9" style="2"/>
    <col min="12544" max="12544" width="15.5" style="2" customWidth="1"/>
    <col min="12545" max="12545" width="43.5" style="2" customWidth="1"/>
    <col min="12546" max="12554" width="3.75" style="2" customWidth="1"/>
    <col min="12555" max="12799" width="9" style="2"/>
    <col min="12800" max="12800" width="15.5" style="2" customWidth="1"/>
    <col min="12801" max="12801" width="43.5" style="2" customWidth="1"/>
    <col min="12802" max="12810" width="3.75" style="2" customWidth="1"/>
    <col min="12811" max="13055" width="9" style="2"/>
    <col min="13056" max="13056" width="15.5" style="2" customWidth="1"/>
    <col min="13057" max="13057" width="43.5" style="2" customWidth="1"/>
    <col min="13058" max="13066" width="3.75" style="2" customWidth="1"/>
    <col min="13067" max="13311" width="9" style="2"/>
    <col min="13312" max="13312" width="15.5" style="2" customWidth="1"/>
    <col min="13313" max="13313" width="43.5" style="2" customWidth="1"/>
    <col min="13314" max="13322" width="3.75" style="2" customWidth="1"/>
    <col min="13323" max="13567" width="9" style="2"/>
    <col min="13568" max="13568" width="15.5" style="2" customWidth="1"/>
    <col min="13569" max="13569" width="43.5" style="2" customWidth="1"/>
    <col min="13570" max="13578" width="3.75" style="2" customWidth="1"/>
    <col min="13579" max="13823" width="9" style="2"/>
    <col min="13824" max="13824" width="15.5" style="2" customWidth="1"/>
    <col min="13825" max="13825" width="43.5" style="2" customWidth="1"/>
    <col min="13826" max="13834" width="3.75" style="2" customWidth="1"/>
    <col min="13835" max="14079" width="9" style="2"/>
    <col min="14080" max="14080" width="15.5" style="2" customWidth="1"/>
    <col min="14081" max="14081" width="43.5" style="2" customWidth="1"/>
    <col min="14082" max="14090" width="3.75" style="2" customWidth="1"/>
    <col min="14091" max="14335" width="9" style="2"/>
    <col min="14336" max="14336" width="15.5" style="2" customWidth="1"/>
    <col min="14337" max="14337" width="43.5" style="2" customWidth="1"/>
    <col min="14338" max="14346" width="3.75" style="2" customWidth="1"/>
    <col min="14347" max="14591" width="9" style="2"/>
    <col min="14592" max="14592" width="15.5" style="2" customWidth="1"/>
    <col min="14593" max="14593" width="43.5" style="2" customWidth="1"/>
    <col min="14594" max="14602" width="3.75" style="2" customWidth="1"/>
    <col min="14603" max="14847" width="9" style="2"/>
    <col min="14848" max="14848" width="15.5" style="2" customWidth="1"/>
    <col min="14849" max="14849" width="43.5" style="2" customWidth="1"/>
    <col min="14850" max="14858" width="3.75" style="2" customWidth="1"/>
    <col min="14859" max="15103" width="9" style="2"/>
    <col min="15104" max="15104" width="15.5" style="2" customWidth="1"/>
    <col min="15105" max="15105" width="43.5" style="2" customWidth="1"/>
    <col min="15106" max="15114" width="3.75" style="2" customWidth="1"/>
    <col min="15115" max="15359" width="9" style="2"/>
    <col min="15360" max="15360" width="15.5" style="2" customWidth="1"/>
    <col min="15361" max="15361" width="43.5" style="2" customWidth="1"/>
    <col min="15362" max="15370" width="3.75" style="2" customWidth="1"/>
    <col min="15371" max="15615" width="9" style="2"/>
    <col min="15616" max="15616" width="15.5" style="2" customWidth="1"/>
    <col min="15617" max="15617" width="43.5" style="2" customWidth="1"/>
    <col min="15618" max="15626" width="3.75" style="2" customWidth="1"/>
    <col min="15627" max="15871" width="9" style="2"/>
    <col min="15872" max="15872" width="15.5" style="2" customWidth="1"/>
    <col min="15873" max="15873" width="43.5" style="2" customWidth="1"/>
    <col min="15874" max="15882" width="3.75" style="2" customWidth="1"/>
    <col min="15883" max="16127" width="9" style="2"/>
    <col min="16128" max="16128" width="15.5" style="2" customWidth="1"/>
    <col min="16129" max="16129" width="43.5" style="2" customWidth="1"/>
    <col min="16130" max="16138" width="3.75" style="2" customWidth="1"/>
    <col min="16139" max="16383" width="9" style="2"/>
    <col min="16384" max="16384" width="8.875" style="2" customWidth="1"/>
  </cols>
  <sheetData>
    <row r="1" spans="1:11" ht="25.35" customHeight="1">
      <c r="A1" s="224" t="s">
        <v>0</v>
      </c>
      <c r="B1" s="225"/>
      <c r="C1" s="225"/>
      <c r="D1" s="225"/>
      <c r="E1" s="225"/>
      <c r="F1" s="225"/>
      <c r="G1" s="225"/>
      <c r="H1" s="225"/>
      <c r="I1" s="225"/>
      <c r="J1" s="225"/>
      <c r="K1" s="110"/>
    </row>
    <row r="2" spans="1:11" ht="25.35" customHeight="1" thickBot="1">
      <c r="A2" s="226" t="s">
        <v>36</v>
      </c>
      <c r="B2" s="227"/>
      <c r="C2" s="227"/>
      <c r="D2" s="227"/>
      <c r="E2" s="227"/>
      <c r="F2" s="227"/>
      <c r="G2" s="227"/>
      <c r="H2" s="227"/>
      <c r="I2" s="227"/>
      <c r="J2" s="227"/>
      <c r="K2" s="110"/>
    </row>
    <row r="3" spans="1:11" ht="12" customHeight="1">
      <c r="A3" s="228" t="s">
        <v>37</v>
      </c>
      <c r="B3" s="230" t="s">
        <v>89</v>
      </c>
      <c r="C3" s="232"/>
      <c r="D3" s="236" t="s">
        <v>19</v>
      </c>
      <c r="E3" s="238" t="s">
        <v>90</v>
      </c>
      <c r="F3" s="239"/>
      <c r="G3" s="239"/>
      <c r="H3" s="239"/>
      <c r="I3" s="239"/>
      <c r="J3" s="240"/>
      <c r="K3" s="26"/>
    </row>
    <row r="4" spans="1:11" ht="12.75" customHeight="1" thickBot="1">
      <c r="A4" s="229"/>
      <c r="B4" s="233"/>
      <c r="C4" s="235"/>
      <c r="D4" s="237"/>
      <c r="E4" s="241"/>
      <c r="F4" s="242"/>
      <c r="G4" s="242"/>
      <c r="H4" s="242"/>
      <c r="I4" s="242"/>
      <c r="J4" s="243"/>
    </row>
    <row r="5" spans="1:11" ht="15.6" customHeight="1">
      <c r="A5" s="244" t="s">
        <v>25</v>
      </c>
      <c r="B5" s="245"/>
      <c r="C5" s="245"/>
      <c r="D5" s="246"/>
      <c r="E5" s="250" t="s">
        <v>20</v>
      </c>
      <c r="F5" s="251"/>
      <c r="G5" s="251"/>
      <c r="H5" s="251"/>
      <c r="I5" s="251"/>
      <c r="J5" s="252"/>
    </row>
    <row r="6" spans="1:11" ht="16.149999999999999" customHeight="1">
      <c r="A6" s="247"/>
      <c r="B6" s="248"/>
      <c r="C6" s="248"/>
      <c r="D6" s="249"/>
      <c r="E6" s="27" t="s">
        <v>5</v>
      </c>
      <c r="F6" s="27" t="s">
        <v>6</v>
      </c>
      <c r="G6" s="27" t="s">
        <v>3</v>
      </c>
      <c r="H6" s="27" t="s">
        <v>4</v>
      </c>
      <c r="I6" s="27" t="s">
        <v>5</v>
      </c>
      <c r="J6" s="28" t="s">
        <v>7</v>
      </c>
    </row>
    <row r="7" spans="1:11" ht="25.35" customHeight="1">
      <c r="A7" s="359" t="s">
        <v>91</v>
      </c>
      <c r="B7" s="360"/>
      <c r="C7" s="360"/>
      <c r="D7" s="361"/>
      <c r="E7" s="34" t="s">
        <v>59</v>
      </c>
      <c r="F7" s="30" t="s">
        <v>59</v>
      </c>
      <c r="G7" s="30">
        <v>7</v>
      </c>
      <c r="H7" s="30">
        <v>0</v>
      </c>
      <c r="I7" s="30">
        <v>0</v>
      </c>
      <c r="J7" s="31">
        <v>0</v>
      </c>
    </row>
    <row r="8" spans="1:11" ht="25.35" customHeight="1">
      <c r="A8" s="69"/>
      <c r="B8" s="29"/>
      <c r="C8" s="29"/>
      <c r="D8" s="29"/>
      <c r="E8" s="35"/>
      <c r="F8" s="32"/>
      <c r="G8" s="32"/>
      <c r="H8" s="32"/>
      <c r="I8" s="32"/>
      <c r="J8" s="33"/>
    </row>
    <row r="9" spans="1:11" ht="25.35" customHeight="1">
      <c r="A9" s="69"/>
      <c r="B9" s="29"/>
      <c r="C9" s="29"/>
      <c r="D9" s="29"/>
      <c r="E9" s="35"/>
      <c r="F9" s="32"/>
      <c r="G9" s="32"/>
      <c r="H9" s="32"/>
      <c r="I9" s="32"/>
      <c r="J9" s="33"/>
    </row>
    <row r="10" spans="1:11" ht="25.35" customHeight="1">
      <c r="A10" s="69"/>
      <c r="B10" s="29"/>
      <c r="C10" s="29"/>
      <c r="D10" s="29"/>
      <c r="E10" s="35"/>
      <c r="F10" s="32"/>
      <c r="G10" s="32"/>
      <c r="H10" s="32"/>
      <c r="I10" s="32"/>
      <c r="J10" s="33"/>
    </row>
    <row r="11" spans="1:11" ht="25.35" customHeight="1" thickBot="1">
      <c r="A11" s="112"/>
      <c r="B11" s="48"/>
      <c r="C11" s="48"/>
      <c r="D11" s="48"/>
      <c r="E11" s="49"/>
      <c r="F11" s="50"/>
      <c r="G11" s="50"/>
      <c r="H11" s="50"/>
      <c r="I11" s="50"/>
      <c r="J11" s="51"/>
    </row>
    <row r="12" spans="1:11" ht="25.35" customHeight="1">
      <c r="A12" s="88" t="s">
        <v>40</v>
      </c>
      <c r="B12" s="87" t="s">
        <v>60</v>
      </c>
      <c r="C12" s="84"/>
      <c r="D12" s="74" t="s">
        <v>22</v>
      </c>
      <c r="E12" s="75" t="s">
        <v>59</v>
      </c>
      <c r="F12" s="76" t="s">
        <v>59</v>
      </c>
      <c r="G12" s="76">
        <v>7</v>
      </c>
      <c r="H12" s="76">
        <v>0</v>
      </c>
      <c r="I12" s="76">
        <v>0</v>
      </c>
      <c r="J12" s="77">
        <v>0</v>
      </c>
    </row>
    <row r="13" spans="1:11" ht="25.35" customHeight="1">
      <c r="A13" s="89" t="s">
        <v>42</v>
      </c>
      <c r="B13" s="85"/>
      <c r="C13" s="86"/>
      <c r="D13" s="78" t="s">
        <v>38</v>
      </c>
      <c r="E13" s="79"/>
      <c r="F13" s="80"/>
      <c r="G13" s="80"/>
      <c r="H13" s="80">
        <v>3</v>
      </c>
      <c r="I13" s="80">
        <v>5</v>
      </c>
      <c r="J13" s="81">
        <v>0</v>
      </c>
    </row>
    <row r="14" spans="1:11" ht="25.35" customHeight="1" thickBot="1">
      <c r="A14" s="90" t="s">
        <v>41</v>
      </c>
      <c r="B14" s="357" t="s">
        <v>92</v>
      </c>
      <c r="C14" s="358"/>
      <c r="D14" s="70" t="s">
        <v>39</v>
      </c>
      <c r="E14" s="71" t="s">
        <v>59</v>
      </c>
      <c r="F14" s="72" t="s">
        <v>59</v>
      </c>
      <c r="G14" s="72">
        <v>7</v>
      </c>
      <c r="H14" s="72">
        <v>3</v>
      </c>
      <c r="I14" s="72">
        <v>5</v>
      </c>
      <c r="J14" s="73">
        <v>0</v>
      </c>
    </row>
    <row r="15" spans="1:11" ht="13.9" customHeight="1">
      <c r="A15" s="19"/>
      <c r="B15" s="20"/>
      <c r="C15" s="20"/>
      <c r="D15" s="21"/>
      <c r="E15" s="21"/>
      <c r="F15" s="21"/>
      <c r="G15" s="21"/>
      <c r="H15" s="21"/>
      <c r="I15" s="21"/>
      <c r="J15" s="22"/>
    </row>
    <row r="16" spans="1:11" ht="16.149999999999999" customHeight="1">
      <c r="A16" s="23" t="s">
        <v>17</v>
      </c>
      <c r="B16" s="24" t="s">
        <v>2</v>
      </c>
      <c r="C16" s="24" t="s">
        <v>13</v>
      </c>
      <c r="D16" s="111" t="s">
        <v>18</v>
      </c>
      <c r="E16" s="253" t="s">
        <v>35</v>
      </c>
      <c r="F16" s="254"/>
      <c r="G16" s="254"/>
      <c r="H16" s="362" t="s">
        <v>8</v>
      </c>
      <c r="I16" s="363"/>
      <c r="J16" s="364"/>
    </row>
    <row r="17" spans="1:15" ht="11.25" customHeight="1">
      <c r="A17" s="15"/>
      <c r="B17" s="16" t="s">
        <v>9</v>
      </c>
      <c r="C17" s="16"/>
      <c r="D17" s="25"/>
      <c r="E17" s="258"/>
      <c r="F17" s="259"/>
      <c r="G17" s="260"/>
      <c r="H17" s="42"/>
      <c r="I17" s="43"/>
      <c r="J17" s="44"/>
    </row>
    <row r="18" spans="1:15" ht="21" customHeight="1">
      <c r="A18" s="17"/>
      <c r="B18" s="18"/>
      <c r="C18" s="18"/>
      <c r="D18" s="3"/>
      <c r="E18" s="261"/>
      <c r="F18" s="365"/>
      <c r="G18" s="263"/>
      <c r="H18" s="45"/>
      <c r="I18" s="46"/>
      <c r="J18" s="47"/>
      <c r="O18" s="4"/>
    </row>
    <row r="19" spans="1:15" ht="21.75" customHeight="1" thickBot="1">
      <c r="A19" s="17"/>
      <c r="B19" s="18"/>
      <c r="C19" s="18"/>
      <c r="D19" s="3"/>
      <c r="E19" s="264"/>
      <c r="F19" s="265"/>
      <c r="G19" s="266"/>
      <c r="H19" s="45"/>
      <c r="I19" s="46"/>
      <c r="J19" s="47"/>
      <c r="O19" s="4"/>
    </row>
    <row r="20" spans="1:15">
      <c r="A20" s="222" t="s">
        <v>21</v>
      </c>
      <c r="B20" s="223"/>
      <c r="C20" s="223"/>
      <c r="D20" s="223"/>
      <c r="E20" s="223"/>
      <c r="F20" s="223"/>
      <c r="G20" s="223"/>
      <c r="H20" s="223"/>
      <c r="I20" s="223"/>
      <c r="J20" s="223"/>
    </row>
  </sheetData>
  <mergeCells count="14">
    <mergeCell ref="A20:J20"/>
    <mergeCell ref="B14:C14"/>
    <mergeCell ref="A5:D6"/>
    <mergeCell ref="E5:J5"/>
    <mergeCell ref="A7:D7"/>
    <mergeCell ref="E16:G16"/>
    <mergeCell ref="H16:J16"/>
    <mergeCell ref="E17:G19"/>
    <mergeCell ref="A1:J1"/>
    <mergeCell ref="A2:J2"/>
    <mergeCell ref="A3:A4"/>
    <mergeCell ref="B3:C4"/>
    <mergeCell ref="D3:D4"/>
    <mergeCell ref="E3:J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8093-9D57-4A05-BDE0-08827E892B85}">
  <sheetPr codeName="工作表10"/>
  <dimension ref="A1:Q19"/>
  <sheetViews>
    <sheetView view="pageBreakPreview" topLeftCell="A2" zoomScale="115" zoomScaleNormal="100" zoomScaleSheetLayoutView="115" workbookViewId="0">
      <selection activeCell="C3" sqref="C3:I3"/>
    </sheetView>
  </sheetViews>
  <sheetFormatPr defaultColWidth="11.25" defaultRowHeight="15" customHeight="1"/>
  <cols>
    <col min="1" max="1" width="7.125" style="1" customWidth="1"/>
    <col min="2" max="2" width="10.5" style="1" customWidth="1"/>
    <col min="3" max="12" width="8.75" style="1" customWidth="1"/>
    <col min="13" max="13" width="6.875" style="1" customWidth="1"/>
    <col min="14" max="16384" width="11.25" style="1"/>
  </cols>
  <sheetData>
    <row r="1" spans="1:12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</row>
    <row r="2" spans="1:12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</row>
    <row r="3" spans="1:12" ht="48.75" customHeight="1" thickBot="1">
      <c r="A3" s="283" t="s">
        <v>10</v>
      </c>
      <c r="B3" s="284"/>
      <c r="C3" s="350" t="s">
        <v>43</v>
      </c>
      <c r="D3" s="351"/>
      <c r="E3" s="351"/>
      <c r="F3" s="351"/>
      <c r="G3" s="351"/>
      <c r="H3" s="351"/>
      <c r="I3" s="352"/>
      <c r="J3" s="99">
        <v>114</v>
      </c>
      <c r="K3" s="97">
        <v>2</v>
      </c>
      <c r="L3" s="98">
        <v>27</v>
      </c>
    </row>
    <row r="4" spans="1:12" ht="28.15" customHeight="1">
      <c r="A4" s="58" t="s">
        <v>26</v>
      </c>
      <c r="B4" s="288" t="s">
        <v>33</v>
      </c>
      <c r="C4" s="288"/>
      <c r="D4" s="289"/>
      <c r="E4" s="288" t="s">
        <v>31</v>
      </c>
      <c r="F4" s="289"/>
      <c r="G4" s="288" t="s">
        <v>34</v>
      </c>
      <c r="H4" s="289"/>
      <c r="I4" s="108" t="s">
        <v>27</v>
      </c>
      <c r="J4" s="108" t="s">
        <v>28</v>
      </c>
      <c r="K4" s="290" t="s">
        <v>32</v>
      </c>
      <c r="L4" s="291"/>
    </row>
    <row r="5" spans="1:12" ht="28.15" customHeight="1">
      <c r="A5" s="95">
        <v>1</v>
      </c>
      <c r="B5" s="345" t="s">
        <v>85</v>
      </c>
      <c r="C5" s="346"/>
      <c r="D5" s="347"/>
      <c r="E5" s="348" t="s">
        <v>86</v>
      </c>
      <c r="F5" s="349"/>
      <c r="G5" s="348" t="s">
        <v>87</v>
      </c>
      <c r="H5" s="349"/>
      <c r="I5" s="109">
        <v>1</v>
      </c>
      <c r="J5" s="94" t="s">
        <v>55</v>
      </c>
      <c r="K5" s="320">
        <v>4280</v>
      </c>
      <c r="L5" s="271"/>
    </row>
    <row r="6" spans="1:12" ht="28.15" customHeight="1">
      <c r="A6" s="96">
        <v>2</v>
      </c>
      <c r="B6" s="340" t="s">
        <v>88</v>
      </c>
      <c r="C6" s="341"/>
      <c r="D6" s="342"/>
      <c r="E6" s="343"/>
      <c r="F6" s="342"/>
      <c r="G6" s="343"/>
      <c r="H6" s="342"/>
      <c r="I6" s="94">
        <v>1</v>
      </c>
      <c r="J6" s="103"/>
      <c r="K6" s="274">
        <v>200</v>
      </c>
      <c r="L6" s="275"/>
    </row>
    <row r="7" spans="1:12" ht="28.15" customHeight="1">
      <c r="A7" s="96">
        <v>3</v>
      </c>
      <c r="B7" s="340"/>
      <c r="C7" s="341"/>
      <c r="D7" s="342"/>
      <c r="E7" s="343"/>
      <c r="F7" s="342"/>
      <c r="G7" s="344"/>
      <c r="H7" s="342"/>
      <c r="I7" s="94"/>
      <c r="J7" s="94"/>
      <c r="K7" s="274"/>
      <c r="L7" s="275"/>
    </row>
    <row r="8" spans="1:12" ht="28.15" customHeight="1">
      <c r="A8" s="96">
        <v>3</v>
      </c>
      <c r="B8" s="340"/>
      <c r="C8" s="341"/>
      <c r="D8" s="342"/>
      <c r="E8" s="343"/>
      <c r="F8" s="342"/>
      <c r="G8" s="344"/>
      <c r="H8" s="342"/>
      <c r="I8" s="94"/>
      <c r="J8" s="94"/>
      <c r="K8" s="274"/>
      <c r="L8" s="275"/>
    </row>
    <row r="9" spans="1:12" ht="28.15" customHeight="1">
      <c r="A9" s="59"/>
      <c r="B9" s="56"/>
      <c r="C9" s="53"/>
      <c r="D9" s="62"/>
      <c r="E9" s="53"/>
      <c r="F9" s="62"/>
      <c r="G9" s="53"/>
      <c r="H9" s="61"/>
      <c r="I9" s="61"/>
      <c r="J9" s="65"/>
      <c r="K9" s="274"/>
      <c r="L9" s="275"/>
    </row>
    <row r="10" spans="1:12" ht="28.15" customHeight="1">
      <c r="A10" s="60"/>
      <c r="B10" s="54"/>
      <c r="C10" s="55"/>
      <c r="D10" s="63"/>
      <c r="E10" s="55"/>
      <c r="F10" s="63"/>
      <c r="G10" s="55"/>
      <c r="H10" s="64"/>
      <c r="I10" s="64"/>
      <c r="J10" s="100"/>
      <c r="K10" s="338"/>
      <c r="L10" s="339"/>
    </row>
    <row r="11" spans="1:12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67" t="s">
        <v>30</v>
      </c>
      <c r="K11" s="301"/>
      <c r="L11" s="302"/>
    </row>
    <row r="12" spans="1:12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4"/>
    </row>
    <row r="13" spans="1:12" ht="19.149999999999999" customHeight="1">
      <c r="A13" s="305" t="s">
        <v>1</v>
      </c>
      <c r="B13" s="306"/>
      <c r="C13" s="308" t="s">
        <v>12</v>
      </c>
      <c r="D13" s="308"/>
      <c r="E13" s="308" t="s">
        <v>13</v>
      </c>
      <c r="F13" s="308"/>
      <c r="G13" s="308" t="s">
        <v>14</v>
      </c>
      <c r="H13" s="308"/>
      <c r="I13" s="309" t="s">
        <v>11</v>
      </c>
      <c r="J13" s="309"/>
      <c r="K13" s="310" t="s">
        <v>15</v>
      </c>
      <c r="L13" s="311"/>
    </row>
    <row r="14" spans="1:12" ht="18" customHeight="1">
      <c r="A14" s="296"/>
      <c r="B14" s="297"/>
      <c r="C14" s="5"/>
      <c r="D14" s="6"/>
      <c r="E14" s="9"/>
      <c r="F14" s="9"/>
      <c r="G14" s="7"/>
      <c r="H14" s="8"/>
      <c r="I14" s="7"/>
      <c r="J14" s="8"/>
      <c r="K14" s="36"/>
      <c r="L14" s="37"/>
    </row>
    <row r="15" spans="1:12" ht="18" customHeight="1">
      <c r="A15" s="296"/>
      <c r="B15" s="297"/>
      <c r="C15" s="5"/>
      <c r="D15" s="6"/>
      <c r="E15" s="9"/>
      <c r="F15" s="9"/>
      <c r="G15" s="7"/>
      <c r="H15" s="8"/>
      <c r="I15" s="7"/>
      <c r="J15" s="8"/>
      <c r="K15" s="38"/>
      <c r="L15" s="39"/>
    </row>
    <row r="16" spans="1:12" ht="18" customHeight="1" thickBot="1">
      <c r="A16" s="298"/>
      <c r="B16" s="299"/>
      <c r="C16" s="11"/>
      <c r="D16" s="10"/>
      <c r="E16" s="12"/>
      <c r="F16" s="13"/>
      <c r="G16" s="14"/>
      <c r="H16" s="13"/>
      <c r="I16" s="14"/>
      <c r="J16" s="13"/>
      <c r="K16" s="40"/>
      <c r="L16" s="41"/>
    </row>
    <row r="17" spans="1:17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Q17" s="1" t="s">
        <v>53</v>
      </c>
    </row>
    <row r="19" spans="1:17" ht="15" customHeight="1">
      <c r="A19" s="52" t="s">
        <v>24</v>
      </c>
    </row>
  </sheetData>
  <mergeCells count="37">
    <mergeCell ref="A1:L1"/>
    <mergeCell ref="A2:L2"/>
    <mergeCell ref="A3:B3"/>
    <mergeCell ref="C3:I3"/>
    <mergeCell ref="B4:D4"/>
    <mergeCell ref="E4:F4"/>
    <mergeCell ref="G4:H4"/>
    <mergeCell ref="K4:L4"/>
    <mergeCell ref="B5:D5"/>
    <mergeCell ref="E5:F5"/>
    <mergeCell ref="G5:H5"/>
    <mergeCell ref="K5:L5"/>
    <mergeCell ref="B6:D6"/>
    <mergeCell ref="E6:F6"/>
    <mergeCell ref="G6:H6"/>
    <mergeCell ref="K6:L6"/>
    <mergeCell ref="B7:D7"/>
    <mergeCell ref="E7:F7"/>
    <mergeCell ref="G7:H7"/>
    <mergeCell ref="K7:L7"/>
    <mergeCell ref="B8:D8"/>
    <mergeCell ref="E8:F8"/>
    <mergeCell ref="G8:H8"/>
    <mergeCell ref="K8:L8"/>
    <mergeCell ref="K13:L13"/>
    <mergeCell ref="A14:B16"/>
    <mergeCell ref="A17:L17"/>
    <mergeCell ref="K9:L9"/>
    <mergeCell ref="K10:L10"/>
    <mergeCell ref="B11:I11"/>
    <mergeCell ref="K11:L11"/>
    <mergeCell ref="A12:L12"/>
    <mergeCell ref="A13:B13"/>
    <mergeCell ref="C13:D13"/>
    <mergeCell ref="E13:F13"/>
    <mergeCell ref="G13:H13"/>
    <mergeCell ref="I13:J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BED1D-3902-444D-B41E-CC62FA13B0C6}">
  <sheetPr codeName="工作表7"/>
  <dimension ref="A1:Q19"/>
  <sheetViews>
    <sheetView view="pageBreakPreview" zoomScale="115" zoomScaleNormal="100" zoomScaleSheetLayoutView="115" workbookViewId="0">
      <selection activeCell="P9" sqref="P9"/>
    </sheetView>
  </sheetViews>
  <sheetFormatPr defaultColWidth="11.25" defaultRowHeight="15" customHeight="1"/>
  <cols>
    <col min="1" max="1" width="7.125" style="1" customWidth="1"/>
    <col min="2" max="2" width="10.5" style="1" customWidth="1"/>
    <col min="3" max="12" width="8.75" style="1" customWidth="1"/>
    <col min="13" max="13" width="6.875" style="1" customWidth="1"/>
    <col min="14" max="16384" width="11.25" style="1"/>
  </cols>
  <sheetData>
    <row r="1" spans="1:12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</row>
    <row r="2" spans="1:12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</row>
    <row r="3" spans="1:12" ht="48.75" customHeight="1" thickBot="1">
      <c r="A3" s="283" t="s">
        <v>10</v>
      </c>
      <c r="B3" s="284"/>
      <c r="C3" s="350" t="s">
        <v>43</v>
      </c>
      <c r="D3" s="351"/>
      <c r="E3" s="351"/>
      <c r="F3" s="351"/>
      <c r="G3" s="351"/>
      <c r="H3" s="351"/>
      <c r="I3" s="352"/>
      <c r="J3" s="99">
        <v>114</v>
      </c>
      <c r="K3" s="97">
        <v>2</v>
      </c>
      <c r="L3" s="98">
        <v>19</v>
      </c>
    </row>
    <row r="4" spans="1:12" ht="28.15" customHeight="1">
      <c r="A4" s="58" t="s">
        <v>26</v>
      </c>
      <c r="B4" s="288" t="s">
        <v>33</v>
      </c>
      <c r="C4" s="288"/>
      <c r="D4" s="289"/>
      <c r="E4" s="288" t="s">
        <v>31</v>
      </c>
      <c r="F4" s="289"/>
      <c r="G4" s="288" t="s">
        <v>34</v>
      </c>
      <c r="H4" s="289"/>
      <c r="I4" s="106" t="s">
        <v>27</v>
      </c>
      <c r="J4" s="106" t="s">
        <v>28</v>
      </c>
      <c r="K4" s="290" t="s">
        <v>32</v>
      </c>
      <c r="L4" s="291"/>
    </row>
    <row r="5" spans="1:12" ht="28.15" customHeight="1">
      <c r="A5" s="95">
        <v>1</v>
      </c>
      <c r="B5" s="345" t="s">
        <v>80</v>
      </c>
      <c r="C5" s="346"/>
      <c r="D5" s="347"/>
      <c r="E5" s="348" t="s">
        <v>81</v>
      </c>
      <c r="F5" s="349"/>
      <c r="G5" s="348" t="s">
        <v>82</v>
      </c>
      <c r="H5" s="349"/>
      <c r="I5" s="107">
        <v>8</v>
      </c>
      <c r="J5" s="94" t="s">
        <v>83</v>
      </c>
      <c r="K5" s="320">
        <v>120</v>
      </c>
      <c r="L5" s="271"/>
    </row>
    <row r="6" spans="1:12" ht="28.15" customHeight="1">
      <c r="A6" s="96">
        <v>2</v>
      </c>
      <c r="B6" s="340" t="s">
        <v>84</v>
      </c>
      <c r="C6" s="341"/>
      <c r="D6" s="342"/>
      <c r="E6" s="343"/>
      <c r="F6" s="342"/>
      <c r="G6" s="343"/>
      <c r="H6" s="342"/>
      <c r="I6" s="94">
        <v>1</v>
      </c>
      <c r="J6" s="103"/>
      <c r="K6" s="274">
        <v>60</v>
      </c>
      <c r="L6" s="275"/>
    </row>
    <row r="7" spans="1:12" ht="28.15" customHeight="1">
      <c r="A7" s="96">
        <v>3</v>
      </c>
      <c r="B7" s="340"/>
      <c r="C7" s="341"/>
      <c r="D7" s="342"/>
      <c r="E7" s="343"/>
      <c r="F7" s="342"/>
      <c r="G7" s="344"/>
      <c r="H7" s="342"/>
      <c r="I7" s="94"/>
      <c r="J7" s="94"/>
      <c r="K7" s="274"/>
      <c r="L7" s="275"/>
    </row>
    <row r="8" spans="1:12" ht="28.15" customHeight="1">
      <c r="A8" s="96">
        <v>3</v>
      </c>
      <c r="B8" s="340"/>
      <c r="C8" s="341"/>
      <c r="D8" s="342"/>
      <c r="E8" s="343"/>
      <c r="F8" s="342"/>
      <c r="G8" s="344"/>
      <c r="H8" s="342"/>
      <c r="I8" s="94"/>
      <c r="J8" s="94"/>
      <c r="K8" s="274"/>
      <c r="L8" s="275"/>
    </row>
    <row r="9" spans="1:12" ht="28.15" customHeight="1">
      <c r="A9" s="59"/>
      <c r="B9" s="56"/>
      <c r="C9" s="53"/>
      <c r="D9" s="62"/>
      <c r="E9" s="53"/>
      <c r="F9" s="62"/>
      <c r="G9" s="53"/>
      <c r="H9" s="61"/>
      <c r="I9" s="61"/>
      <c r="J9" s="65"/>
      <c r="K9" s="274"/>
      <c r="L9" s="275"/>
    </row>
    <row r="10" spans="1:12" ht="28.15" customHeight="1">
      <c r="A10" s="60"/>
      <c r="B10" s="54"/>
      <c r="C10" s="55"/>
      <c r="D10" s="63"/>
      <c r="E10" s="55"/>
      <c r="F10" s="63"/>
      <c r="G10" s="55"/>
      <c r="H10" s="64"/>
      <c r="I10" s="64"/>
      <c r="J10" s="100"/>
      <c r="K10" s="338"/>
      <c r="L10" s="339"/>
    </row>
    <row r="11" spans="1:12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67" t="s">
        <v>30</v>
      </c>
      <c r="K11" s="301"/>
      <c r="L11" s="302"/>
    </row>
    <row r="12" spans="1:12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4"/>
    </row>
    <row r="13" spans="1:12" ht="19.149999999999999" customHeight="1">
      <c r="A13" s="305" t="s">
        <v>1</v>
      </c>
      <c r="B13" s="306"/>
      <c r="C13" s="308" t="s">
        <v>12</v>
      </c>
      <c r="D13" s="308"/>
      <c r="E13" s="308" t="s">
        <v>13</v>
      </c>
      <c r="F13" s="308"/>
      <c r="G13" s="308" t="s">
        <v>14</v>
      </c>
      <c r="H13" s="308"/>
      <c r="I13" s="309" t="s">
        <v>11</v>
      </c>
      <c r="J13" s="309"/>
      <c r="K13" s="310" t="s">
        <v>15</v>
      </c>
      <c r="L13" s="311"/>
    </row>
    <row r="14" spans="1:12" ht="18" customHeight="1">
      <c r="A14" s="296"/>
      <c r="B14" s="297"/>
      <c r="C14" s="5"/>
      <c r="D14" s="6"/>
      <c r="E14" s="9"/>
      <c r="F14" s="9"/>
      <c r="G14" s="7"/>
      <c r="H14" s="8"/>
      <c r="I14" s="7"/>
      <c r="J14" s="8"/>
      <c r="K14" s="36"/>
      <c r="L14" s="37"/>
    </row>
    <row r="15" spans="1:12" ht="18" customHeight="1">
      <c r="A15" s="296"/>
      <c r="B15" s="297"/>
      <c r="C15" s="5"/>
      <c r="D15" s="6"/>
      <c r="E15" s="9"/>
      <c r="F15" s="9"/>
      <c r="G15" s="7"/>
      <c r="H15" s="8"/>
      <c r="I15" s="7"/>
      <c r="J15" s="8"/>
      <c r="K15" s="38"/>
      <c r="L15" s="39"/>
    </row>
    <row r="16" spans="1:12" ht="18" customHeight="1" thickBot="1">
      <c r="A16" s="298"/>
      <c r="B16" s="299"/>
      <c r="C16" s="11"/>
      <c r="D16" s="10"/>
      <c r="E16" s="12"/>
      <c r="F16" s="13"/>
      <c r="G16" s="14"/>
      <c r="H16" s="13"/>
      <c r="I16" s="14"/>
      <c r="J16" s="13"/>
      <c r="K16" s="40"/>
      <c r="L16" s="41"/>
    </row>
    <row r="17" spans="1:17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Q17" s="1" t="s">
        <v>53</v>
      </c>
    </row>
    <row r="19" spans="1:17" ht="15" customHeight="1">
      <c r="A19" s="52" t="s">
        <v>24</v>
      </c>
    </row>
  </sheetData>
  <mergeCells count="37">
    <mergeCell ref="A1:L1"/>
    <mergeCell ref="A2:L2"/>
    <mergeCell ref="A3:B3"/>
    <mergeCell ref="C3:I3"/>
    <mergeCell ref="B4:D4"/>
    <mergeCell ref="E4:F4"/>
    <mergeCell ref="G4:H4"/>
    <mergeCell ref="K4:L4"/>
    <mergeCell ref="B5:D5"/>
    <mergeCell ref="E5:F5"/>
    <mergeCell ref="G5:H5"/>
    <mergeCell ref="K5:L5"/>
    <mergeCell ref="B6:D6"/>
    <mergeCell ref="E6:F6"/>
    <mergeCell ref="G6:H6"/>
    <mergeCell ref="K6:L6"/>
    <mergeCell ref="B7:D7"/>
    <mergeCell ref="E7:F7"/>
    <mergeCell ref="G7:H7"/>
    <mergeCell ref="K7:L7"/>
    <mergeCell ref="B8:D8"/>
    <mergeCell ref="E8:F8"/>
    <mergeCell ref="G8:H8"/>
    <mergeCell ref="K8:L8"/>
    <mergeCell ref="K13:L13"/>
    <mergeCell ref="A14:B16"/>
    <mergeCell ref="A17:L17"/>
    <mergeCell ref="K9:L9"/>
    <mergeCell ref="K10:L10"/>
    <mergeCell ref="B11:I11"/>
    <mergeCell ref="K11:L11"/>
    <mergeCell ref="A12:L12"/>
    <mergeCell ref="A13:B13"/>
    <mergeCell ref="C13:D13"/>
    <mergeCell ref="E13:F13"/>
    <mergeCell ref="G13:H13"/>
    <mergeCell ref="I13:J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18FE8-95A2-40FC-BA75-FAAB85D12C55}">
  <sheetPr codeName="工作表8"/>
  <dimension ref="A1:Q19"/>
  <sheetViews>
    <sheetView zoomScaleNormal="100" zoomScaleSheetLayoutView="115" workbookViewId="0">
      <selection activeCell="P17" sqref="P17"/>
    </sheetView>
  </sheetViews>
  <sheetFormatPr defaultColWidth="11.25" defaultRowHeight="15" customHeight="1"/>
  <cols>
    <col min="1" max="1" width="7.125" style="1" customWidth="1"/>
    <col min="2" max="2" width="10.5" style="1" customWidth="1"/>
    <col min="3" max="12" width="8.75" style="1" customWidth="1"/>
    <col min="13" max="13" width="6.875" style="1" customWidth="1"/>
    <col min="14" max="16384" width="11.25" style="1"/>
  </cols>
  <sheetData>
    <row r="1" spans="1:12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</row>
    <row r="2" spans="1:12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</row>
    <row r="3" spans="1:12" ht="48.75" customHeight="1" thickBot="1">
      <c r="A3" s="283" t="s">
        <v>10</v>
      </c>
      <c r="B3" s="284"/>
      <c r="C3" s="350" t="s">
        <v>43</v>
      </c>
      <c r="D3" s="351"/>
      <c r="E3" s="351"/>
      <c r="F3" s="351"/>
      <c r="G3" s="351"/>
      <c r="H3" s="351"/>
      <c r="I3" s="352"/>
      <c r="J3" s="99">
        <v>114</v>
      </c>
      <c r="K3" s="97">
        <v>2</v>
      </c>
      <c r="L3" s="98">
        <v>17</v>
      </c>
    </row>
    <row r="4" spans="1:12" ht="28.15" customHeight="1">
      <c r="A4" s="58" t="s">
        <v>26</v>
      </c>
      <c r="B4" s="288" t="s">
        <v>33</v>
      </c>
      <c r="C4" s="288"/>
      <c r="D4" s="289"/>
      <c r="E4" s="288" t="s">
        <v>31</v>
      </c>
      <c r="F4" s="289"/>
      <c r="G4" s="288" t="s">
        <v>34</v>
      </c>
      <c r="H4" s="289"/>
      <c r="I4" s="104" t="s">
        <v>27</v>
      </c>
      <c r="J4" s="104" t="s">
        <v>28</v>
      </c>
      <c r="K4" s="290" t="s">
        <v>32</v>
      </c>
      <c r="L4" s="291"/>
    </row>
    <row r="5" spans="1:12" ht="28.15" customHeight="1">
      <c r="A5" s="95">
        <v>1</v>
      </c>
      <c r="B5" s="345" t="s">
        <v>79</v>
      </c>
      <c r="C5" s="346"/>
      <c r="D5" s="347"/>
      <c r="E5" s="348" t="s">
        <v>78</v>
      </c>
      <c r="F5" s="349"/>
      <c r="G5" s="348"/>
      <c r="H5" s="349"/>
      <c r="I5" s="105">
        <v>1</v>
      </c>
      <c r="J5" s="94"/>
      <c r="K5" s="320">
        <v>6400</v>
      </c>
      <c r="L5" s="271"/>
    </row>
    <row r="6" spans="1:12" ht="28.15" customHeight="1">
      <c r="A6" s="96">
        <v>2</v>
      </c>
      <c r="B6" s="340"/>
      <c r="C6" s="341"/>
      <c r="D6" s="342"/>
      <c r="E6" s="343"/>
      <c r="F6" s="342"/>
      <c r="G6" s="343"/>
      <c r="H6" s="342"/>
      <c r="I6" s="94"/>
      <c r="J6" s="103"/>
      <c r="K6" s="274"/>
      <c r="L6" s="275"/>
    </row>
    <row r="7" spans="1:12" ht="28.15" customHeight="1">
      <c r="A7" s="96">
        <v>3</v>
      </c>
      <c r="B7" s="340"/>
      <c r="C7" s="341"/>
      <c r="D7" s="342"/>
      <c r="E7" s="343"/>
      <c r="F7" s="342"/>
      <c r="G7" s="344"/>
      <c r="H7" s="342"/>
      <c r="I7" s="94"/>
      <c r="J7" s="94"/>
      <c r="K7" s="274"/>
      <c r="L7" s="275"/>
    </row>
    <row r="8" spans="1:12" ht="28.15" customHeight="1">
      <c r="A8" s="96">
        <v>3</v>
      </c>
      <c r="B8" s="340"/>
      <c r="C8" s="341"/>
      <c r="D8" s="342"/>
      <c r="E8" s="343"/>
      <c r="F8" s="342"/>
      <c r="G8" s="344"/>
      <c r="H8" s="342"/>
      <c r="I8" s="94"/>
      <c r="J8" s="94"/>
      <c r="K8" s="274"/>
      <c r="L8" s="275"/>
    </row>
    <row r="9" spans="1:12" ht="28.15" customHeight="1">
      <c r="A9" s="59"/>
      <c r="B9" s="56"/>
      <c r="C9" s="53"/>
      <c r="D9" s="62"/>
      <c r="E9" s="53"/>
      <c r="F9" s="62"/>
      <c r="G9" s="53"/>
      <c r="H9" s="61"/>
      <c r="I9" s="61"/>
      <c r="J9" s="65"/>
      <c r="K9" s="274"/>
      <c r="L9" s="275"/>
    </row>
    <row r="10" spans="1:12" ht="28.15" customHeight="1">
      <c r="A10" s="60"/>
      <c r="B10" s="54"/>
      <c r="C10" s="55"/>
      <c r="D10" s="63"/>
      <c r="E10" s="55"/>
      <c r="F10" s="63"/>
      <c r="G10" s="55"/>
      <c r="H10" s="64"/>
      <c r="I10" s="64"/>
      <c r="J10" s="100"/>
      <c r="K10" s="338"/>
      <c r="L10" s="339"/>
    </row>
    <row r="11" spans="1:12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67" t="s">
        <v>30</v>
      </c>
      <c r="K11" s="301">
        <f>SUM(K5:L10)</f>
        <v>6400</v>
      </c>
      <c r="L11" s="302"/>
    </row>
    <row r="12" spans="1:12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4"/>
    </row>
    <row r="13" spans="1:12" ht="19.149999999999999" customHeight="1">
      <c r="A13" s="305" t="s">
        <v>1</v>
      </c>
      <c r="B13" s="306"/>
      <c r="C13" s="308" t="s">
        <v>12</v>
      </c>
      <c r="D13" s="308"/>
      <c r="E13" s="308" t="s">
        <v>13</v>
      </c>
      <c r="F13" s="308"/>
      <c r="G13" s="308" t="s">
        <v>14</v>
      </c>
      <c r="H13" s="308"/>
      <c r="I13" s="309" t="s">
        <v>11</v>
      </c>
      <c r="J13" s="309"/>
      <c r="K13" s="310" t="s">
        <v>15</v>
      </c>
      <c r="L13" s="311"/>
    </row>
    <row r="14" spans="1:12" ht="18" customHeight="1">
      <c r="A14" s="296"/>
      <c r="B14" s="297"/>
      <c r="C14" s="5"/>
      <c r="D14" s="6"/>
      <c r="E14" s="9"/>
      <c r="F14" s="9"/>
      <c r="G14" s="7"/>
      <c r="H14" s="8"/>
      <c r="I14" s="7"/>
      <c r="J14" s="8"/>
      <c r="K14" s="36"/>
      <c r="L14" s="37"/>
    </row>
    <row r="15" spans="1:12" ht="18" customHeight="1">
      <c r="A15" s="296"/>
      <c r="B15" s="297"/>
      <c r="C15" s="5"/>
      <c r="D15" s="6"/>
      <c r="E15" s="9"/>
      <c r="F15" s="9"/>
      <c r="G15" s="7"/>
      <c r="H15" s="8"/>
      <c r="I15" s="7"/>
      <c r="J15" s="8"/>
      <c r="K15" s="38"/>
      <c r="L15" s="39"/>
    </row>
    <row r="16" spans="1:12" ht="18" customHeight="1" thickBot="1">
      <c r="A16" s="298"/>
      <c r="B16" s="299"/>
      <c r="C16" s="11"/>
      <c r="D16" s="10"/>
      <c r="E16" s="12"/>
      <c r="F16" s="13"/>
      <c r="G16" s="14"/>
      <c r="H16" s="13"/>
      <c r="I16" s="14"/>
      <c r="J16" s="13"/>
      <c r="K16" s="40"/>
      <c r="L16" s="41"/>
    </row>
    <row r="17" spans="1:17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Q17" s="1" t="s">
        <v>53</v>
      </c>
    </row>
    <row r="19" spans="1:17" ht="15" customHeight="1">
      <c r="A19" s="52" t="s">
        <v>24</v>
      </c>
    </row>
  </sheetData>
  <mergeCells count="37">
    <mergeCell ref="A1:L1"/>
    <mergeCell ref="A2:L2"/>
    <mergeCell ref="A3:B3"/>
    <mergeCell ref="C3:I3"/>
    <mergeCell ref="B4:D4"/>
    <mergeCell ref="E4:F4"/>
    <mergeCell ref="G4:H4"/>
    <mergeCell ref="K4:L4"/>
    <mergeCell ref="B5:D5"/>
    <mergeCell ref="E5:F5"/>
    <mergeCell ref="G5:H5"/>
    <mergeCell ref="K5:L5"/>
    <mergeCell ref="B6:D6"/>
    <mergeCell ref="E6:F6"/>
    <mergeCell ref="G6:H6"/>
    <mergeCell ref="K6:L6"/>
    <mergeCell ref="B7:D7"/>
    <mergeCell ref="E7:F7"/>
    <mergeCell ref="G7:H7"/>
    <mergeCell ref="K7:L7"/>
    <mergeCell ref="B8:D8"/>
    <mergeCell ref="E8:F8"/>
    <mergeCell ref="G8:H8"/>
    <mergeCell ref="K8:L8"/>
    <mergeCell ref="K13:L13"/>
    <mergeCell ref="A14:B16"/>
    <mergeCell ref="A17:L17"/>
    <mergeCell ref="K9:L9"/>
    <mergeCell ref="K10:L10"/>
    <mergeCell ref="B11:I11"/>
    <mergeCell ref="K11:L11"/>
    <mergeCell ref="A12:L12"/>
    <mergeCell ref="A13:B13"/>
    <mergeCell ref="C13:D13"/>
    <mergeCell ref="E13:F13"/>
    <mergeCell ref="G13:H13"/>
    <mergeCell ref="I13:J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4E09-E741-4D58-9068-6400DD7A57A4}">
  <sheetPr codeName="工作表9"/>
  <dimension ref="A1:Q19"/>
  <sheetViews>
    <sheetView zoomScaleNormal="100" zoomScaleSheetLayoutView="115" workbookViewId="0">
      <selection activeCell="O20" sqref="O20"/>
    </sheetView>
  </sheetViews>
  <sheetFormatPr defaultColWidth="11.25" defaultRowHeight="15" customHeight="1"/>
  <cols>
    <col min="1" max="1" width="7.125" style="1" customWidth="1"/>
    <col min="2" max="2" width="10.5" style="1" customWidth="1"/>
    <col min="3" max="12" width="8.75" style="1" customWidth="1"/>
    <col min="13" max="13" width="6.875" style="1" customWidth="1"/>
    <col min="14" max="16384" width="11.25" style="1"/>
  </cols>
  <sheetData>
    <row r="1" spans="1:12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</row>
    <row r="2" spans="1:12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</row>
    <row r="3" spans="1:12" ht="48.75" customHeight="1" thickBot="1">
      <c r="A3" s="283" t="s">
        <v>10</v>
      </c>
      <c r="B3" s="284"/>
      <c r="C3" s="350" t="s">
        <v>43</v>
      </c>
      <c r="D3" s="351"/>
      <c r="E3" s="351"/>
      <c r="F3" s="351"/>
      <c r="G3" s="351"/>
      <c r="H3" s="351"/>
      <c r="I3" s="352"/>
      <c r="J3" s="99">
        <v>114</v>
      </c>
      <c r="K3" s="97">
        <v>2</v>
      </c>
      <c r="L3" s="98">
        <v>17</v>
      </c>
    </row>
    <row r="4" spans="1:12" ht="28.15" customHeight="1">
      <c r="A4" s="58" t="s">
        <v>26</v>
      </c>
      <c r="B4" s="288" t="s">
        <v>33</v>
      </c>
      <c r="C4" s="288"/>
      <c r="D4" s="289"/>
      <c r="E4" s="288" t="s">
        <v>31</v>
      </c>
      <c r="F4" s="289"/>
      <c r="G4" s="288" t="s">
        <v>34</v>
      </c>
      <c r="H4" s="289"/>
      <c r="I4" s="104" t="s">
        <v>27</v>
      </c>
      <c r="J4" s="104" t="s">
        <v>28</v>
      </c>
      <c r="K4" s="290" t="s">
        <v>32</v>
      </c>
      <c r="L4" s="291"/>
    </row>
    <row r="5" spans="1:12" ht="28.15" customHeight="1">
      <c r="A5" s="95">
        <v>1</v>
      </c>
      <c r="B5" s="345" t="s">
        <v>70</v>
      </c>
      <c r="C5" s="346"/>
      <c r="D5" s="347"/>
      <c r="E5" s="348" t="s">
        <v>71</v>
      </c>
      <c r="F5" s="349"/>
      <c r="G5" s="348" t="s">
        <v>72</v>
      </c>
      <c r="H5" s="349"/>
      <c r="I5" s="105">
        <v>2</v>
      </c>
      <c r="J5" s="94"/>
      <c r="K5" s="320">
        <v>380</v>
      </c>
      <c r="L5" s="271"/>
    </row>
    <row r="6" spans="1:12" ht="28.15" customHeight="1">
      <c r="A6" s="96">
        <v>2</v>
      </c>
      <c r="B6" s="340" t="s">
        <v>73</v>
      </c>
      <c r="C6" s="341"/>
      <c r="D6" s="342"/>
      <c r="E6" s="343"/>
      <c r="F6" s="342"/>
      <c r="G6" s="343" t="s">
        <v>74</v>
      </c>
      <c r="H6" s="342"/>
      <c r="I6" s="94">
        <v>1</v>
      </c>
      <c r="J6" s="103"/>
      <c r="K6" s="274">
        <v>80</v>
      </c>
      <c r="L6" s="275"/>
    </row>
    <row r="7" spans="1:12" ht="28.15" customHeight="1">
      <c r="A7" s="96">
        <v>3</v>
      </c>
      <c r="B7" s="340" t="s">
        <v>75</v>
      </c>
      <c r="C7" s="341"/>
      <c r="D7" s="342"/>
      <c r="E7" s="343" t="s">
        <v>76</v>
      </c>
      <c r="F7" s="342"/>
      <c r="G7" s="344" t="s">
        <v>77</v>
      </c>
      <c r="H7" s="342"/>
      <c r="I7" s="94">
        <v>3</v>
      </c>
      <c r="J7" s="94"/>
      <c r="K7" s="274">
        <v>237</v>
      </c>
      <c r="L7" s="275"/>
    </row>
    <row r="8" spans="1:12" ht="28.15" customHeight="1">
      <c r="A8" s="59"/>
      <c r="B8" s="57"/>
      <c r="C8" s="53"/>
      <c r="D8" s="62"/>
      <c r="E8" s="53"/>
      <c r="F8" s="62"/>
      <c r="G8" s="53"/>
      <c r="H8" s="61"/>
      <c r="I8" s="61"/>
      <c r="J8" s="61"/>
      <c r="K8" s="274"/>
      <c r="L8" s="275"/>
    </row>
    <row r="9" spans="1:12" ht="28.15" customHeight="1">
      <c r="A9" s="59"/>
      <c r="B9" s="56"/>
      <c r="C9" s="53"/>
      <c r="D9" s="62"/>
      <c r="E9" s="53"/>
      <c r="F9" s="62"/>
      <c r="G9" s="53"/>
      <c r="H9" s="61"/>
      <c r="I9" s="61"/>
      <c r="J9" s="65"/>
      <c r="K9" s="274"/>
      <c r="L9" s="275"/>
    </row>
    <row r="10" spans="1:12" ht="28.15" customHeight="1">
      <c r="A10" s="60"/>
      <c r="B10" s="54"/>
      <c r="C10" s="55"/>
      <c r="D10" s="63"/>
      <c r="E10" s="55"/>
      <c r="F10" s="63"/>
      <c r="G10" s="55"/>
      <c r="H10" s="64"/>
      <c r="I10" s="64"/>
      <c r="J10" s="100"/>
      <c r="K10" s="338"/>
      <c r="L10" s="339"/>
    </row>
    <row r="11" spans="1:12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67" t="s">
        <v>30</v>
      </c>
      <c r="K11" s="301">
        <f>SUM(K5:L10)</f>
        <v>697</v>
      </c>
      <c r="L11" s="302"/>
    </row>
    <row r="12" spans="1:12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4"/>
    </row>
    <row r="13" spans="1:12" ht="19.149999999999999" customHeight="1">
      <c r="A13" s="305" t="s">
        <v>1</v>
      </c>
      <c r="B13" s="306"/>
      <c r="C13" s="308" t="s">
        <v>12</v>
      </c>
      <c r="D13" s="308"/>
      <c r="E13" s="308" t="s">
        <v>13</v>
      </c>
      <c r="F13" s="308"/>
      <c r="G13" s="308" t="s">
        <v>14</v>
      </c>
      <c r="H13" s="308"/>
      <c r="I13" s="309" t="s">
        <v>11</v>
      </c>
      <c r="J13" s="309"/>
      <c r="K13" s="310" t="s">
        <v>15</v>
      </c>
      <c r="L13" s="311"/>
    </row>
    <row r="14" spans="1:12" ht="18" customHeight="1">
      <c r="A14" s="296"/>
      <c r="B14" s="297"/>
      <c r="C14" s="5"/>
      <c r="D14" s="6"/>
      <c r="E14" s="9"/>
      <c r="F14" s="9"/>
      <c r="G14" s="7"/>
      <c r="H14" s="8"/>
      <c r="I14" s="7"/>
      <c r="J14" s="8"/>
      <c r="K14" s="36"/>
      <c r="L14" s="37"/>
    </row>
    <row r="15" spans="1:12" ht="18" customHeight="1">
      <c r="A15" s="296"/>
      <c r="B15" s="297"/>
      <c r="C15" s="5"/>
      <c r="D15" s="6"/>
      <c r="E15" s="9"/>
      <c r="F15" s="9"/>
      <c r="G15" s="7"/>
      <c r="H15" s="8"/>
      <c r="I15" s="7"/>
      <c r="J15" s="8"/>
      <c r="K15" s="38"/>
      <c r="L15" s="39"/>
    </row>
    <row r="16" spans="1:12" ht="18" customHeight="1" thickBot="1">
      <c r="A16" s="298"/>
      <c r="B16" s="299"/>
      <c r="C16" s="11"/>
      <c r="D16" s="10"/>
      <c r="E16" s="12"/>
      <c r="F16" s="13"/>
      <c r="G16" s="14"/>
      <c r="H16" s="13"/>
      <c r="I16" s="14"/>
      <c r="J16" s="13"/>
      <c r="K16" s="40"/>
      <c r="L16" s="41"/>
    </row>
    <row r="17" spans="1:17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Q17" s="1" t="s">
        <v>53</v>
      </c>
    </row>
    <row r="19" spans="1:17" ht="15" customHeight="1">
      <c r="A19" s="52" t="s">
        <v>24</v>
      </c>
    </row>
  </sheetData>
  <mergeCells count="34">
    <mergeCell ref="A1:L1"/>
    <mergeCell ref="A2:L2"/>
    <mergeCell ref="A3:B3"/>
    <mergeCell ref="C3:I3"/>
    <mergeCell ref="B4:D4"/>
    <mergeCell ref="E4:F4"/>
    <mergeCell ref="G4:H4"/>
    <mergeCell ref="K4:L4"/>
    <mergeCell ref="K9:L9"/>
    <mergeCell ref="B5:D5"/>
    <mergeCell ref="E5:F5"/>
    <mergeCell ref="G5:H5"/>
    <mergeCell ref="K5:L5"/>
    <mergeCell ref="B6:D6"/>
    <mergeCell ref="E6:F6"/>
    <mergeCell ref="G6:H6"/>
    <mergeCell ref="K6:L6"/>
    <mergeCell ref="B7:D7"/>
    <mergeCell ref="E7:F7"/>
    <mergeCell ref="G7:H7"/>
    <mergeCell ref="K7:L7"/>
    <mergeCell ref="K8:L8"/>
    <mergeCell ref="A14:B16"/>
    <mergeCell ref="A17:L17"/>
    <mergeCell ref="K10:L10"/>
    <mergeCell ref="B11:I11"/>
    <mergeCell ref="K11:L11"/>
    <mergeCell ref="A12:L12"/>
    <mergeCell ref="A13:B13"/>
    <mergeCell ref="C13:D13"/>
    <mergeCell ref="E13:F13"/>
    <mergeCell ref="G13:H13"/>
    <mergeCell ref="I13:J13"/>
    <mergeCell ref="K13:L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1F78-89FC-4C58-88F6-4FF3C1649540}">
  <sheetPr codeName="工作表6"/>
  <dimension ref="A1:Q19"/>
  <sheetViews>
    <sheetView zoomScaleNormal="100" zoomScaleSheetLayoutView="115" workbookViewId="0">
      <selection activeCell="F9" sqref="F9"/>
    </sheetView>
  </sheetViews>
  <sheetFormatPr defaultColWidth="11.25" defaultRowHeight="15" customHeight="1"/>
  <cols>
    <col min="1" max="1" width="7.125" style="1" customWidth="1"/>
    <col min="2" max="2" width="10.5" style="1" customWidth="1"/>
    <col min="3" max="12" width="8.75" style="1" customWidth="1"/>
    <col min="13" max="13" width="6.875" style="1" customWidth="1"/>
    <col min="14" max="16384" width="11.25" style="1"/>
  </cols>
  <sheetData>
    <row r="1" spans="1:12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</row>
    <row r="2" spans="1:12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</row>
    <row r="3" spans="1:12" ht="48.75" customHeight="1" thickBot="1">
      <c r="A3" s="283" t="s">
        <v>10</v>
      </c>
      <c r="B3" s="284"/>
      <c r="C3" s="350" t="s">
        <v>43</v>
      </c>
      <c r="D3" s="351"/>
      <c r="E3" s="351"/>
      <c r="F3" s="351"/>
      <c r="G3" s="351"/>
      <c r="H3" s="351"/>
      <c r="I3" s="352"/>
      <c r="J3" s="99">
        <v>114</v>
      </c>
      <c r="K3" s="97">
        <v>2</v>
      </c>
      <c r="L3" s="98">
        <v>11</v>
      </c>
    </row>
    <row r="4" spans="1:12" ht="28.15" customHeight="1">
      <c r="A4" s="58" t="s">
        <v>26</v>
      </c>
      <c r="B4" s="288" t="s">
        <v>33</v>
      </c>
      <c r="C4" s="288"/>
      <c r="D4" s="289"/>
      <c r="E4" s="288" t="s">
        <v>31</v>
      </c>
      <c r="F4" s="289"/>
      <c r="G4" s="288" t="s">
        <v>34</v>
      </c>
      <c r="H4" s="289"/>
      <c r="I4" s="101" t="s">
        <v>27</v>
      </c>
      <c r="J4" s="101" t="s">
        <v>28</v>
      </c>
      <c r="K4" s="290" t="s">
        <v>32</v>
      </c>
      <c r="L4" s="291"/>
    </row>
    <row r="5" spans="1:12" ht="28.15" customHeight="1">
      <c r="A5" s="95">
        <v>1</v>
      </c>
      <c r="B5" s="345" t="s">
        <v>67</v>
      </c>
      <c r="C5" s="346"/>
      <c r="D5" s="347"/>
      <c r="E5" s="348" t="s">
        <v>69</v>
      </c>
      <c r="F5" s="349"/>
      <c r="G5" s="348" t="s">
        <v>68</v>
      </c>
      <c r="H5" s="349"/>
      <c r="I5" s="102">
        <v>1</v>
      </c>
      <c r="J5" s="94" t="s">
        <v>55</v>
      </c>
      <c r="K5" s="320">
        <v>250</v>
      </c>
      <c r="L5" s="271"/>
    </row>
    <row r="6" spans="1:12" ht="28.15" customHeight="1">
      <c r="A6" s="96">
        <v>2</v>
      </c>
      <c r="B6" s="340"/>
      <c r="C6" s="341"/>
      <c r="D6" s="342"/>
      <c r="E6" s="343"/>
      <c r="F6" s="342"/>
      <c r="G6" s="343"/>
      <c r="H6" s="342"/>
      <c r="I6" s="94"/>
      <c r="J6" s="103"/>
      <c r="K6" s="274"/>
      <c r="L6" s="275"/>
    </row>
    <row r="7" spans="1:12" ht="28.15" customHeight="1">
      <c r="A7" s="96">
        <v>3</v>
      </c>
      <c r="B7" s="340"/>
      <c r="C7" s="341"/>
      <c r="D7" s="342"/>
      <c r="E7" s="343"/>
      <c r="F7" s="342"/>
      <c r="G7" s="344"/>
      <c r="H7" s="342"/>
      <c r="I7" s="94"/>
      <c r="J7" s="94"/>
      <c r="K7" s="274"/>
      <c r="L7" s="275"/>
    </row>
    <row r="8" spans="1:12" ht="28.15" customHeight="1">
      <c r="A8" s="59"/>
      <c r="B8" s="57"/>
      <c r="C8" s="53"/>
      <c r="D8" s="62"/>
      <c r="E8" s="53"/>
      <c r="F8" s="62"/>
      <c r="G8" s="53"/>
      <c r="H8" s="61"/>
      <c r="I8" s="61"/>
      <c r="J8" s="61"/>
      <c r="K8" s="274"/>
      <c r="L8" s="275"/>
    </row>
    <row r="9" spans="1:12" ht="28.15" customHeight="1">
      <c r="A9" s="59"/>
      <c r="B9" s="56"/>
      <c r="C9" s="53"/>
      <c r="D9" s="62"/>
      <c r="E9" s="53"/>
      <c r="F9" s="62"/>
      <c r="G9" s="53"/>
      <c r="H9" s="61"/>
      <c r="I9" s="61"/>
      <c r="J9" s="65"/>
      <c r="K9" s="274"/>
      <c r="L9" s="275"/>
    </row>
    <row r="10" spans="1:12" ht="28.15" customHeight="1">
      <c r="A10" s="60"/>
      <c r="B10" s="54"/>
      <c r="C10" s="55"/>
      <c r="D10" s="63"/>
      <c r="E10" s="55"/>
      <c r="F10" s="63"/>
      <c r="G10" s="55"/>
      <c r="H10" s="64"/>
      <c r="I10" s="64"/>
      <c r="J10" s="100" t="s">
        <v>56</v>
      </c>
      <c r="K10" s="338" t="s">
        <v>64</v>
      </c>
      <c r="L10" s="339"/>
    </row>
    <row r="11" spans="1:12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67" t="s">
        <v>30</v>
      </c>
      <c r="K11" s="301">
        <f>SUM(K5:L10)</f>
        <v>250</v>
      </c>
      <c r="L11" s="302"/>
    </row>
    <row r="12" spans="1:12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4"/>
    </row>
    <row r="13" spans="1:12" ht="19.149999999999999" customHeight="1">
      <c r="A13" s="305" t="s">
        <v>1</v>
      </c>
      <c r="B13" s="306"/>
      <c r="C13" s="308" t="s">
        <v>12</v>
      </c>
      <c r="D13" s="308"/>
      <c r="E13" s="308" t="s">
        <v>13</v>
      </c>
      <c r="F13" s="308"/>
      <c r="G13" s="308" t="s">
        <v>14</v>
      </c>
      <c r="H13" s="308"/>
      <c r="I13" s="309" t="s">
        <v>11</v>
      </c>
      <c r="J13" s="309"/>
      <c r="K13" s="310" t="s">
        <v>15</v>
      </c>
      <c r="L13" s="311"/>
    </row>
    <row r="14" spans="1:12" ht="18" customHeight="1">
      <c r="A14" s="296"/>
      <c r="B14" s="297"/>
      <c r="C14" s="5"/>
      <c r="D14" s="6"/>
      <c r="E14" s="9"/>
      <c r="F14" s="9"/>
      <c r="G14" s="7"/>
      <c r="H14" s="8"/>
      <c r="I14" s="7"/>
      <c r="J14" s="8"/>
      <c r="K14" s="36"/>
      <c r="L14" s="37"/>
    </row>
    <row r="15" spans="1:12" ht="18" customHeight="1">
      <c r="A15" s="296"/>
      <c r="B15" s="297"/>
      <c r="C15" s="5"/>
      <c r="D15" s="6"/>
      <c r="E15" s="9"/>
      <c r="F15" s="9"/>
      <c r="G15" s="7"/>
      <c r="H15" s="8"/>
      <c r="I15" s="7"/>
      <c r="J15" s="8"/>
      <c r="K15" s="38"/>
      <c r="L15" s="39"/>
    </row>
    <row r="16" spans="1:12" ht="18" customHeight="1" thickBot="1">
      <c r="A16" s="298"/>
      <c r="B16" s="299"/>
      <c r="C16" s="11"/>
      <c r="D16" s="10"/>
      <c r="E16" s="12"/>
      <c r="F16" s="13"/>
      <c r="G16" s="14"/>
      <c r="H16" s="13"/>
      <c r="I16" s="14"/>
      <c r="J16" s="13"/>
      <c r="K16" s="40"/>
      <c r="L16" s="41"/>
    </row>
    <row r="17" spans="1:17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Q17" s="1" t="s">
        <v>53</v>
      </c>
    </row>
    <row r="19" spans="1:17" ht="15" customHeight="1">
      <c r="A19" s="52" t="s">
        <v>24</v>
      </c>
    </row>
  </sheetData>
  <mergeCells count="34">
    <mergeCell ref="A14:B16"/>
    <mergeCell ref="A17:L17"/>
    <mergeCell ref="K10:L10"/>
    <mergeCell ref="B11:I11"/>
    <mergeCell ref="K11:L11"/>
    <mergeCell ref="A12:L12"/>
    <mergeCell ref="A13:B13"/>
    <mergeCell ref="C13:D13"/>
    <mergeCell ref="E13:F13"/>
    <mergeCell ref="G13:H13"/>
    <mergeCell ref="I13:J13"/>
    <mergeCell ref="K13:L13"/>
    <mergeCell ref="K9:L9"/>
    <mergeCell ref="B5:D5"/>
    <mergeCell ref="E5:F5"/>
    <mergeCell ref="G5:H5"/>
    <mergeCell ref="K5:L5"/>
    <mergeCell ref="B6:D6"/>
    <mergeCell ref="E6:F6"/>
    <mergeCell ref="G6:H6"/>
    <mergeCell ref="K6:L6"/>
    <mergeCell ref="B7:D7"/>
    <mergeCell ref="E7:F7"/>
    <mergeCell ref="G7:H7"/>
    <mergeCell ref="K7:L7"/>
    <mergeCell ref="K8:L8"/>
    <mergeCell ref="A1:L1"/>
    <mergeCell ref="A2:L2"/>
    <mergeCell ref="A3:B3"/>
    <mergeCell ref="C3:I3"/>
    <mergeCell ref="B4:D4"/>
    <mergeCell ref="E4:F4"/>
    <mergeCell ref="G4:H4"/>
    <mergeCell ref="K4:L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BFE0D-F0A1-4C08-99CD-7325E25CDB04}">
  <sheetPr codeName="工作表4"/>
  <dimension ref="A1:Q19"/>
  <sheetViews>
    <sheetView view="pageBreakPreview" zoomScale="115" zoomScaleNormal="100" zoomScaleSheetLayoutView="115" workbookViewId="0">
      <selection activeCell="E5" sqref="E5:H5"/>
    </sheetView>
  </sheetViews>
  <sheetFormatPr defaultColWidth="11.25" defaultRowHeight="15" customHeight="1"/>
  <cols>
    <col min="1" max="1" width="7.125" style="1" customWidth="1"/>
    <col min="2" max="2" width="10.5" style="1" customWidth="1"/>
    <col min="3" max="12" width="8.75" style="1" customWidth="1"/>
    <col min="13" max="13" width="6.875" style="1" customWidth="1"/>
    <col min="14" max="16384" width="11.25" style="1"/>
  </cols>
  <sheetData>
    <row r="1" spans="1:12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</row>
    <row r="2" spans="1:12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</row>
    <row r="3" spans="1:12" ht="48.75" customHeight="1" thickBot="1">
      <c r="A3" s="283" t="s">
        <v>10</v>
      </c>
      <c r="B3" s="284"/>
      <c r="C3" s="350" t="s">
        <v>43</v>
      </c>
      <c r="D3" s="351"/>
      <c r="E3" s="351"/>
      <c r="F3" s="351"/>
      <c r="G3" s="351"/>
      <c r="H3" s="351"/>
      <c r="I3" s="352"/>
      <c r="J3" s="99">
        <v>113</v>
      </c>
      <c r="K3" s="97">
        <v>1</v>
      </c>
      <c r="L3" s="98">
        <v>7</v>
      </c>
    </row>
    <row r="4" spans="1:12" ht="28.15" customHeight="1">
      <c r="A4" s="58" t="s">
        <v>26</v>
      </c>
      <c r="B4" s="288" t="s">
        <v>33</v>
      </c>
      <c r="C4" s="288"/>
      <c r="D4" s="289"/>
      <c r="E4" s="288" t="s">
        <v>31</v>
      </c>
      <c r="F4" s="289"/>
      <c r="G4" s="288" t="s">
        <v>34</v>
      </c>
      <c r="H4" s="289"/>
      <c r="I4" s="68" t="s">
        <v>27</v>
      </c>
      <c r="J4" s="68" t="s">
        <v>28</v>
      </c>
      <c r="K4" s="290" t="s">
        <v>32</v>
      </c>
      <c r="L4" s="291"/>
    </row>
    <row r="5" spans="1:12" ht="28.15" customHeight="1">
      <c r="A5" s="95">
        <v>1</v>
      </c>
      <c r="B5" s="345" t="s">
        <v>54</v>
      </c>
      <c r="C5" s="346"/>
      <c r="D5" s="347"/>
      <c r="E5" s="348" t="s">
        <v>57</v>
      </c>
      <c r="F5" s="366"/>
      <c r="G5" s="367"/>
      <c r="H5" s="368"/>
      <c r="I5" s="92">
        <v>1</v>
      </c>
      <c r="J5" s="92" t="s">
        <v>55</v>
      </c>
      <c r="K5" s="320">
        <v>15000</v>
      </c>
      <c r="L5" s="271"/>
    </row>
    <row r="6" spans="1:12" ht="28.15" customHeight="1">
      <c r="A6" s="96">
        <v>2</v>
      </c>
      <c r="B6" s="340"/>
      <c r="C6" s="341"/>
      <c r="D6" s="342"/>
      <c r="E6" s="343"/>
      <c r="F6" s="342"/>
      <c r="G6" s="343"/>
      <c r="H6" s="342"/>
      <c r="I6" s="94"/>
      <c r="J6" s="94"/>
      <c r="K6" s="274"/>
      <c r="L6" s="275"/>
    </row>
    <row r="7" spans="1:12" ht="28.15" customHeight="1">
      <c r="A7" s="96">
        <v>3</v>
      </c>
      <c r="B7" s="340"/>
      <c r="C7" s="341"/>
      <c r="D7" s="342"/>
      <c r="E7" s="343"/>
      <c r="F7" s="342"/>
      <c r="G7" s="344"/>
      <c r="H7" s="342"/>
      <c r="I7" s="94"/>
      <c r="J7" s="94"/>
      <c r="K7" s="274"/>
      <c r="L7" s="275"/>
    </row>
    <row r="8" spans="1:12" ht="28.15" customHeight="1">
      <c r="A8" s="59"/>
      <c r="B8" s="57"/>
      <c r="C8" s="53"/>
      <c r="D8" s="62"/>
      <c r="E8" s="53"/>
      <c r="F8" s="62"/>
      <c r="G8" s="53"/>
      <c r="H8" s="61"/>
      <c r="I8" s="61"/>
      <c r="J8" s="61"/>
      <c r="K8" s="274"/>
      <c r="L8" s="275"/>
    </row>
    <row r="9" spans="1:12" ht="28.15" customHeight="1">
      <c r="A9" s="59"/>
      <c r="B9" s="56"/>
      <c r="C9" s="53"/>
      <c r="D9" s="62"/>
      <c r="E9" s="53"/>
      <c r="F9" s="62"/>
      <c r="G9" s="53"/>
      <c r="H9" s="61"/>
      <c r="I9" s="61"/>
      <c r="J9" s="65"/>
      <c r="K9" s="274"/>
      <c r="L9" s="275"/>
    </row>
    <row r="10" spans="1:12" ht="28.15" customHeight="1">
      <c r="A10" s="60"/>
      <c r="B10" s="54"/>
      <c r="C10" s="55"/>
      <c r="D10" s="63"/>
      <c r="E10" s="55"/>
      <c r="F10" s="63"/>
      <c r="G10" s="55"/>
      <c r="H10" s="64"/>
      <c r="I10" s="64"/>
      <c r="J10" s="100" t="s">
        <v>56</v>
      </c>
      <c r="K10" s="292">
        <f>K5*0.05</f>
        <v>750</v>
      </c>
      <c r="L10" s="293"/>
    </row>
    <row r="11" spans="1:12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67" t="s">
        <v>30</v>
      </c>
      <c r="K11" s="301">
        <f>SUM(K5:L10)</f>
        <v>15750</v>
      </c>
      <c r="L11" s="302"/>
    </row>
    <row r="12" spans="1:12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4"/>
    </row>
    <row r="13" spans="1:12" ht="19.149999999999999" customHeight="1">
      <c r="A13" s="305" t="s">
        <v>1</v>
      </c>
      <c r="B13" s="306"/>
      <c r="C13" s="308" t="s">
        <v>12</v>
      </c>
      <c r="D13" s="308"/>
      <c r="E13" s="308" t="s">
        <v>13</v>
      </c>
      <c r="F13" s="308"/>
      <c r="G13" s="308" t="s">
        <v>14</v>
      </c>
      <c r="H13" s="308"/>
      <c r="I13" s="309" t="s">
        <v>11</v>
      </c>
      <c r="J13" s="309"/>
      <c r="K13" s="310" t="s">
        <v>15</v>
      </c>
      <c r="L13" s="311"/>
    </row>
    <row r="14" spans="1:12" ht="18" customHeight="1">
      <c r="A14" s="296"/>
      <c r="B14" s="297"/>
      <c r="C14" s="5"/>
      <c r="D14" s="6"/>
      <c r="E14" s="9"/>
      <c r="F14" s="9"/>
      <c r="G14" s="7"/>
      <c r="H14" s="8"/>
      <c r="I14" s="7"/>
      <c r="J14" s="8"/>
      <c r="K14" s="36"/>
      <c r="L14" s="37"/>
    </row>
    <row r="15" spans="1:12" ht="18" customHeight="1">
      <c r="A15" s="296"/>
      <c r="B15" s="297"/>
      <c r="C15" s="5"/>
      <c r="D15" s="6"/>
      <c r="E15" s="9"/>
      <c r="F15" s="9"/>
      <c r="G15" s="7"/>
      <c r="H15" s="8"/>
      <c r="I15" s="7"/>
      <c r="J15" s="8"/>
      <c r="K15" s="38"/>
      <c r="L15" s="39"/>
    </row>
    <row r="16" spans="1:12" ht="18" customHeight="1" thickBot="1">
      <c r="A16" s="298"/>
      <c r="B16" s="299"/>
      <c r="C16" s="11"/>
      <c r="D16" s="10"/>
      <c r="E16" s="12"/>
      <c r="F16" s="13"/>
      <c r="G16" s="14"/>
      <c r="H16" s="13"/>
      <c r="I16" s="14"/>
      <c r="J16" s="13"/>
      <c r="K16" s="40"/>
      <c r="L16" s="41"/>
    </row>
    <row r="17" spans="1:17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Q17" s="1" t="s">
        <v>53</v>
      </c>
    </row>
    <row r="19" spans="1:17" ht="15" customHeight="1">
      <c r="A19" s="52" t="s">
        <v>24</v>
      </c>
    </row>
  </sheetData>
  <mergeCells count="33">
    <mergeCell ref="A14:B16"/>
    <mergeCell ref="A17:L17"/>
    <mergeCell ref="E5:H5"/>
    <mergeCell ref="K10:L10"/>
    <mergeCell ref="B11:I11"/>
    <mergeCell ref="K11:L11"/>
    <mergeCell ref="A12:L12"/>
    <mergeCell ref="A13:B13"/>
    <mergeCell ref="C13:D13"/>
    <mergeCell ref="E13:F13"/>
    <mergeCell ref="G13:H13"/>
    <mergeCell ref="I13:J13"/>
    <mergeCell ref="K13:L13"/>
    <mergeCell ref="B7:D7"/>
    <mergeCell ref="E7:F7"/>
    <mergeCell ref="G7:H7"/>
    <mergeCell ref="K7:L7"/>
    <mergeCell ref="K8:L8"/>
    <mergeCell ref="K9:L9"/>
    <mergeCell ref="B5:D5"/>
    <mergeCell ref="K5:L5"/>
    <mergeCell ref="B6:D6"/>
    <mergeCell ref="E6:F6"/>
    <mergeCell ref="G6:H6"/>
    <mergeCell ref="K6:L6"/>
    <mergeCell ref="A1:L1"/>
    <mergeCell ref="A2:L2"/>
    <mergeCell ref="A3:B3"/>
    <mergeCell ref="C3:I3"/>
    <mergeCell ref="B4:D4"/>
    <mergeCell ref="E4:F4"/>
    <mergeCell ref="G4:H4"/>
    <mergeCell ref="K4:L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1EFFF-5AE4-49E7-94A1-FDEC7B394A00}">
  <sheetPr codeName="工作表5"/>
  <dimension ref="A1:Q19"/>
  <sheetViews>
    <sheetView zoomScaleNormal="100" zoomScaleSheetLayoutView="115" workbookViewId="0">
      <selection activeCell="A11" sqref="A11"/>
    </sheetView>
  </sheetViews>
  <sheetFormatPr defaultColWidth="11.25" defaultRowHeight="15" customHeight="1"/>
  <cols>
    <col min="1" max="1" width="7.125" style="1" customWidth="1"/>
    <col min="2" max="2" width="10.5" style="1" customWidth="1"/>
    <col min="3" max="12" width="8.75" style="1" customWidth="1"/>
    <col min="13" max="13" width="6.875" style="1" customWidth="1"/>
    <col min="14" max="16384" width="11.25" style="1"/>
  </cols>
  <sheetData>
    <row r="1" spans="1:12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</row>
    <row r="2" spans="1:12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</row>
    <row r="3" spans="1:12" ht="48.75" customHeight="1" thickBot="1">
      <c r="A3" s="283" t="s">
        <v>10</v>
      </c>
      <c r="B3" s="284"/>
      <c r="C3" s="350" t="s">
        <v>43</v>
      </c>
      <c r="D3" s="351"/>
      <c r="E3" s="351"/>
      <c r="F3" s="351"/>
      <c r="G3" s="351"/>
      <c r="H3" s="351"/>
      <c r="I3" s="352"/>
      <c r="J3" s="99">
        <v>113</v>
      </c>
      <c r="K3" s="97">
        <v>1</v>
      </c>
      <c r="L3" s="98">
        <v>7</v>
      </c>
    </row>
    <row r="4" spans="1:12" ht="28.15" customHeight="1">
      <c r="A4" s="58" t="s">
        <v>26</v>
      </c>
      <c r="B4" s="288" t="s">
        <v>33</v>
      </c>
      <c r="C4" s="288"/>
      <c r="D4" s="289"/>
      <c r="E4" s="288" t="s">
        <v>31</v>
      </c>
      <c r="F4" s="289"/>
      <c r="G4" s="288" t="s">
        <v>34</v>
      </c>
      <c r="H4" s="289"/>
      <c r="I4" s="68" t="s">
        <v>27</v>
      </c>
      <c r="J4" s="68" t="s">
        <v>28</v>
      </c>
      <c r="K4" s="290" t="s">
        <v>32</v>
      </c>
      <c r="L4" s="291"/>
    </row>
    <row r="5" spans="1:12" ht="28.15" customHeight="1">
      <c r="A5" s="95">
        <v>1</v>
      </c>
      <c r="B5" s="345" t="s">
        <v>44</v>
      </c>
      <c r="C5" s="346"/>
      <c r="D5" s="347"/>
      <c r="E5" s="348" t="s">
        <v>45</v>
      </c>
      <c r="F5" s="349"/>
      <c r="G5" s="348" t="s">
        <v>46</v>
      </c>
      <c r="H5" s="349"/>
      <c r="I5" s="92">
        <v>1</v>
      </c>
      <c r="J5" s="92" t="s">
        <v>47</v>
      </c>
      <c r="K5" s="320">
        <f>10000-750</f>
        <v>9250</v>
      </c>
      <c r="L5" s="271"/>
    </row>
    <row r="6" spans="1:12" ht="28.15" customHeight="1">
      <c r="A6" s="96">
        <v>2</v>
      </c>
      <c r="B6" s="340" t="s">
        <v>44</v>
      </c>
      <c r="C6" s="341"/>
      <c r="D6" s="342"/>
      <c r="E6" s="343" t="s">
        <v>45</v>
      </c>
      <c r="F6" s="342"/>
      <c r="G6" s="344" t="s">
        <v>48</v>
      </c>
      <c r="H6" s="369"/>
      <c r="I6" s="94">
        <v>1</v>
      </c>
      <c r="J6" s="94" t="s">
        <v>47</v>
      </c>
      <c r="K6" s="274">
        <v>9250</v>
      </c>
      <c r="L6" s="275"/>
    </row>
    <row r="7" spans="1:12" ht="28.15" customHeight="1">
      <c r="A7" s="96">
        <v>3</v>
      </c>
      <c r="B7" s="340" t="s">
        <v>49</v>
      </c>
      <c r="C7" s="341"/>
      <c r="D7" s="342"/>
      <c r="E7" s="343" t="s">
        <v>50</v>
      </c>
      <c r="F7" s="342"/>
      <c r="G7" s="344" t="s">
        <v>52</v>
      </c>
      <c r="H7" s="342"/>
      <c r="I7" s="94">
        <v>2</v>
      </c>
      <c r="J7" s="94" t="s">
        <v>51</v>
      </c>
      <c r="K7" s="274">
        <v>600</v>
      </c>
      <c r="L7" s="275"/>
    </row>
    <row r="8" spans="1:12" ht="28.15" customHeight="1">
      <c r="A8" s="59"/>
      <c r="B8" s="57"/>
      <c r="C8" s="53"/>
      <c r="D8" s="62"/>
      <c r="E8" s="53"/>
      <c r="F8" s="62"/>
      <c r="G8" s="53"/>
      <c r="H8" s="61"/>
      <c r="I8" s="61"/>
      <c r="J8" s="61"/>
      <c r="K8" s="274"/>
      <c r="L8" s="275"/>
    </row>
    <row r="9" spans="1:12" ht="28.15" customHeight="1">
      <c r="A9" s="59"/>
      <c r="B9" s="56"/>
      <c r="C9" s="53"/>
      <c r="D9" s="62"/>
      <c r="E9" s="53"/>
      <c r="F9" s="62"/>
      <c r="G9" s="53"/>
      <c r="H9" s="61"/>
      <c r="I9" s="61"/>
      <c r="J9" s="65"/>
      <c r="K9" s="274"/>
      <c r="L9" s="275"/>
    </row>
    <row r="10" spans="1:12" ht="28.15" customHeight="1">
      <c r="A10" s="60"/>
      <c r="B10" s="54"/>
      <c r="C10" s="55"/>
      <c r="D10" s="63"/>
      <c r="E10" s="55"/>
      <c r="F10" s="63"/>
      <c r="G10" s="55"/>
      <c r="H10" s="64"/>
      <c r="I10" s="64"/>
      <c r="J10" s="64"/>
      <c r="K10" s="292"/>
      <c r="L10" s="293"/>
    </row>
    <row r="11" spans="1:12" ht="28.15" customHeight="1" thickBot="1">
      <c r="A11" s="66" t="s">
        <v>29</v>
      </c>
      <c r="B11" s="300" t="s">
        <v>58</v>
      </c>
      <c r="C11" s="300"/>
      <c r="D11" s="300"/>
      <c r="E11" s="300"/>
      <c r="F11" s="300"/>
      <c r="G11" s="300"/>
      <c r="H11" s="300"/>
      <c r="I11" s="300"/>
      <c r="J11" s="67" t="s">
        <v>30</v>
      </c>
      <c r="K11" s="301">
        <f>SUM(K5:L10)</f>
        <v>19100</v>
      </c>
      <c r="L11" s="302"/>
    </row>
    <row r="12" spans="1:12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4"/>
    </row>
    <row r="13" spans="1:12" ht="19.149999999999999" customHeight="1">
      <c r="A13" s="305" t="s">
        <v>1</v>
      </c>
      <c r="B13" s="306"/>
      <c r="C13" s="308" t="s">
        <v>12</v>
      </c>
      <c r="D13" s="308"/>
      <c r="E13" s="308" t="s">
        <v>13</v>
      </c>
      <c r="F13" s="308"/>
      <c r="G13" s="308" t="s">
        <v>14</v>
      </c>
      <c r="H13" s="308"/>
      <c r="I13" s="309" t="s">
        <v>11</v>
      </c>
      <c r="J13" s="309"/>
      <c r="K13" s="310" t="s">
        <v>15</v>
      </c>
      <c r="L13" s="311"/>
    </row>
    <row r="14" spans="1:12" ht="18" customHeight="1">
      <c r="A14" s="296"/>
      <c r="B14" s="297"/>
      <c r="C14" s="5"/>
      <c r="D14" s="6"/>
      <c r="E14" s="9"/>
      <c r="F14" s="9"/>
      <c r="G14" s="7"/>
      <c r="H14" s="8"/>
      <c r="I14" s="7"/>
      <c r="J14" s="8"/>
      <c r="K14" s="36"/>
      <c r="L14" s="37"/>
    </row>
    <row r="15" spans="1:12" ht="18" customHeight="1">
      <c r="A15" s="296"/>
      <c r="B15" s="297"/>
      <c r="C15" s="5"/>
      <c r="D15" s="6"/>
      <c r="E15" s="9"/>
      <c r="F15" s="9"/>
      <c r="G15" s="7"/>
      <c r="H15" s="8"/>
      <c r="I15" s="7"/>
      <c r="J15" s="8"/>
      <c r="K15" s="38"/>
      <c r="L15" s="39"/>
    </row>
    <row r="16" spans="1:12" ht="18" customHeight="1" thickBot="1">
      <c r="A16" s="298"/>
      <c r="B16" s="299"/>
      <c r="C16" s="11"/>
      <c r="D16" s="10"/>
      <c r="E16" s="12"/>
      <c r="F16" s="13"/>
      <c r="G16" s="14"/>
      <c r="H16" s="13"/>
      <c r="I16" s="14"/>
      <c r="J16" s="13"/>
      <c r="K16" s="40"/>
      <c r="L16" s="41"/>
    </row>
    <row r="17" spans="1:17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Q17" s="1" t="s">
        <v>53</v>
      </c>
    </row>
    <row r="19" spans="1:17" ht="15" customHeight="1">
      <c r="A19" s="52" t="s">
        <v>24</v>
      </c>
    </row>
  </sheetData>
  <mergeCells count="34">
    <mergeCell ref="A14:B16"/>
    <mergeCell ref="A17:L17"/>
    <mergeCell ref="K10:L10"/>
    <mergeCell ref="B11:I11"/>
    <mergeCell ref="K11:L11"/>
    <mergeCell ref="A12:L12"/>
    <mergeCell ref="A13:B13"/>
    <mergeCell ref="C13:D13"/>
    <mergeCell ref="E13:F13"/>
    <mergeCell ref="G13:H13"/>
    <mergeCell ref="I13:J13"/>
    <mergeCell ref="K13:L13"/>
    <mergeCell ref="K9:L9"/>
    <mergeCell ref="B5:D5"/>
    <mergeCell ref="E5:F5"/>
    <mergeCell ref="G5:H5"/>
    <mergeCell ref="K5:L5"/>
    <mergeCell ref="B6:D6"/>
    <mergeCell ref="E6:F6"/>
    <mergeCell ref="G6:H6"/>
    <mergeCell ref="K6:L6"/>
    <mergeCell ref="B7:D7"/>
    <mergeCell ref="E7:F7"/>
    <mergeCell ref="G7:H7"/>
    <mergeCell ref="K7:L7"/>
    <mergeCell ref="K8:L8"/>
    <mergeCell ref="A1:L1"/>
    <mergeCell ref="A2:L2"/>
    <mergeCell ref="A3:B3"/>
    <mergeCell ref="C3:I3"/>
    <mergeCell ref="B4:D4"/>
    <mergeCell ref="E4:F4"/>
    <mergeCell ref="G4:H4"/>
    <mergeCell ref="K4:L4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38D1-55A3-4564-8044-39394D81DA9D}">
  <sheetPr codeName="工作表3"/>
  <dimension ref="A1:Q19"/>
  <sheetViews>
    <sheetView zoomScaleNormal="100" zoomScaleSheetLayoutView="115" workbookViewId="0">
      <selection activeCell="O17" sqref="O17"/>
    </sheetView>
  </sheetViews>
  <sheetFormatPr defaultColWidth="11.25" defaultRowHeight="15" customHeight="1"/>
  <cols>
    <col min="1" max="1" width="7.125" style="1" customWidth="1"/>
    <col min="2" max="2" width="10.5" style="1" customWidth="1"/>
    <col min="3" max="12" width="8.75" style="1" customWidth="1"/>
    <col min="13" max="13" width="6.875" style="1" customWidth="1"/>
    <col min="14" max="16384" width="11.25" style="1"/>
  </cols>
  <sheetData>
    <row r="1" spans="1:12" ht="25.9" customHeight="1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</row>
    <row r="2" spans="1:12" ht="25.9" customHeight="1" thickBot="1">
      <c r="A2" s="282" t="s">
        <v>23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</row>
    <row r="3" spans="1:12" ht="48.75" customHeight="1" thickBot="1">
      <c r="A3" s="283" t="s">
        <v>10</v>
      </c>
      <c r="B3" s="284"/>
      <c r="C3" s="350" t="s">
        <v>43</v>
      </c>
      <c r="D3" s="351"/>
      <c r="E3" s="351"/>
      <c r="F3" s="351"/>
      <c r="G3" s="351"/>
      <c r="H3" s="351"/>
      <c r="I3" s="352"/>
      <c r="J3" s="99">
        <v>114</v>
      </c>
      <c r="K3" s="97">
        <v>1</v>
      </c>
      <c r="L3" s="98">
        <v>10</v>
      </c>
    </row>
    <row r="4" spans="1:12" ht="28.15" customHeight="1">
      <c r="A4" s="58" t="s">
        <v>26</v>
      </c>
      <c r="B4" s="288" t="s">
        <v>33</v>
      </c>
      <c r="C4" s="288"/>
      <c r="D4" s="289"/>
      <c r="E4" s="288" t="s">
        <v>31</v>
      </c>
      <c r="F4" s="289"/>
      <c r="G4" s="288" t="s">
        <v>34</v>
      </c>
      <c r="H4" s="289"/>
      <c r="I4" s="91" t="s">
        <v>27</v>
      </c>
      <c r="J4" s="91" t="s">
        <v>28</v>
      </c>
      <c r="K4" s="290" t="s">
        <v>32</v>
      </c>
      <c r="L4" s="291"/>
    </row>
    <row r="5" spans="1:12" ht="28.15" customHeight="1">
      <c r="A5" s="95">
        <v>1</v>
      </c>
      <c r="B5" s="345" t="s">
        <v>61</v>
      </c>
      <c r="C5" s="346"/>
      <c r="D5" s="347"/>
      <c r="E5" s="348" t="s">
        <v>62</v>
      </c>
      <c r="F5" s="349"/>
      <c r="G5" s="348" t="s">
        <v>63</v>
      </c>
      <c r="H5" s="349"/>
      <c r="I5" s="93">
        <v>1</v>
      </c>
      <c r="J5" s="94" t="s">
        <v>66</v>
      </c>
      <c r="K5" s="320">
        <v>1120</v>
      </c>
      <c r="L5" s="271"/>
    </row>
    <row r="6" spans="1:12" ht="28.15" customHeight="1">
      <c r="A6" s="96">
        <v>2</v>
      </c>
      <c r="B6" s="340" t="s">
        <v>65</v>
      </c>
      <c r="C6" s="341"/>
      <c r="D6" s="342"/>
      <c r="E6" s="343"/>
      <c r="F6" s="342"/>
      <c r="G6" s="343"/>
      <c r="H6" s="342"/>
      <c r="I6" s="94">
        <v>1</v>
      </c>
      <c r="J6" s="103" t="s">
        <v>55</v>
      </c>
      <c r="K6" s="274">
        <v>100</v>
      </c>
      <c r="L6" s="275"/>
    </row>
    <row r="7" spans="1:12" ht="28.15" customHeight="1">
      <c r="A7" s="96">
        <v>3</v>
      </c>
      <c r="B7" s="340"/>
      <c r="C7" s="341"/>
      <c r="D7" s="342"/>
      <c r="E7" s="343"/>
      <c r="F7" s="342"/>
      <c r="G7" s="344"/>
      <c r="H7" s="342"/>
      <c r="I7" s="94"/>
      <c r="J7" s="94"/>
      <c r="K7" s="274"/>
      <c r="L7" s="275"/>
    </row>
    <row r="8" spans="1:12" ht="28.15" customHeight="1">
      <c r="A8" s="59"/>
      <c r="B8" s="57"/>
      <c r="C8" s="53"/>
      <c r="D8" s="62"/>
      <c r="E8" s="53"/>
      <c r="F8" s="62"/>
      <c r="G8" s="53"/>
      <c r="H8" s="61"/>
      <c r="I8" s="61"/>
      <c r="J8" s="61"/>
      <c r="K8" s="274"/>
      <c r="L8" s="275"/>
    </row>
    <row r="9" spans="1:12" ht="28.15" customHeight="1">
      <c r="A9" s="59"/>
      <c r="B9" s="56"/>
      <c r="C9" s="53"/>
      <c r="D9" s="62"/>
      <c r="E9" s="53"/>
      <c r="F9" s="62"/>
      <c r="G9" s="53"/>
      <c r="H9" s="61"/>
      <c r="I9" s="61"/>
      <c r="J9" s="65"/>
      <c r="K9" s="274"/>
      <c r="L9" s="275"/>
    </row>
    <row r="10" spans="1:12" ht="28.15" customHeight="1">
      <c r="A10" s="60"/>
      <c r="B10" s="54"/>
      <c r="C10" s="55"/>
      <c r="D10" s="63"/>
      <c r="E10" s="55"/>
      <c r="F10" s="63"/>
      <c r="G10" s="55"/>
      <c r="H10" s="64"/>
      <c r="I10" s="64"/>
      <c r="J10" s="100" t="s">
        <v>56</v>
      </c>
      <c r="K10" s="338" t="s">
        <v>64</v>
      </c>
      <c r="L10" s="339"/>
    </row>
    <row r="11" spans="1:12" ht="28.15" customHeight="1" thickBot="1">
      <c r="A11" s="66" t="s">
        <v>29</v>
      </c>
      <c r="B11" s="300"/>
      <c r="C11" s="300"/>
      <c r="D11" s="300"/>
      <c r="E11" s="300"/>
      <c r="F11" s="300"/>
      <c r="G11" s="300"/>
      <c r="H11" s="300"/>
      <c r="I11" s="300"/>
      <c r="J11" s="67" t="s">
        <v>30</v>
      </c>
      <c r="K11" s="301">
        <f>SUM(K5:L10)</f>
        <v>1220</v>
      </c>
      <c r="L11" s="302"/>
    </row>
    <row r="12" spans="1:12" ht="12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4"/>
    </row>
    <row r="13" spans="1:12" ht="19.149999999999999" customHeight="1">
      <c r="A13" s="305" t="s">
        <v>1</v>
      </c>
      <c r="B13" s="306"/>
      <c r="C13" s="308" t="s">
        <v>12</v>
      </c>
      <c r="D13" s="308"/>
      <c r="E13" s="308" t="s">
        <v>13</v>
      </c>
      <c r="F13" s="308"/>
      <c r="G13" s="308" t="s">
        <v>14</v>
      </c>
      <c r="H13" s="308"/>
      <c r="I13" s="309" t="s">
        <v>11</v>
      </c>
      <c r="J13" s="309"/>
      <c r="K13" s="310" t="s">
        <v>15</v>
      </c>
      <c r="L13" s="311"/>
    </row>
    <row r="14" spans="1:12" ht="18" customHeight="1">
      <c r="A14" s="296"/>
      <c r="B14" s="297"/>
      <c r="C14" s="5"/>
      <c r="D14" s="6"/>
      <c r="E14" s="9"/>
      <c r="F14" s="9"/>
      <c r="G14" s="7"/>
      <c r="H14" s="8"/>
      <c r="I14" s="7"/>
      <c r="J14" s="8"/>
      <c r="K14" s="36"/>
      <c r="L14" s="37"/>
    </row>
    <row r="15" spans="1:12" ht="18" customHeight="1">
      <c r="A15" s="296"/>
      <c r="B15" s="297"/>
      <c r="C15" s="5"/>
      <c r="D15" s="6"/>
      <c r="E15" s="9"/>
      <c r="F15" s="9"/>
      <c r="G15" s="7"/>
      <c r="H15" s="8"/>
      <c r="I15" s="7"/>
      <c r="J15" s="8"/>
      <c r="K15" s="38"/>
      <c r="L15" s="39"/>
    </row>
    <row r="16" spans="1:12" ht="18" customHeight="1" thickBot="1">
      <c r="A16" s="298"/>
      <c r="B16" s="299"/>
      <c r="C16" s="11"/>
      <c r="D16" s="10"/>
      <c r="E16" s="12"/>
      <c r="F16" s="13"/>
      <c r="G16" s="14"/>
      <c r="H16" s="13"/>
      <c r="I16" s="14"/>
      <c r="J16" s="13"/>
      <c r="K16" s="40"/>
      <c r="L16" s="41"/>
    </row>
    <row r="17" spans="1:17" ht="15" customHeight="1">
      <c r="A17" s="222" t="s">
        <v>16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Q17" s="1" t="s">
        <v>53</v>
      </c>
    </row>
    <row r="19" spans="1:17" ht="15" customHeight="1">
      <c r="A19" s="52" t="s">
        <v>24</v>
      </c>
    </row>
  </sheetData>
  <mergeCells count="34">
    <mergeCell ref="A1:L1"/>
    <mergeCell ref="A2:L2"/>
    <mergeCell ref="A3:B3"/>
    <mergeCell ref="C3:I3"/>
    <mergeCell ref="B4:D4"/>
    <mergeCell ref="E4:F4"/>
    <mergeCell ref="G4:H4"/>
    <mergeCell ref="K4:L4"/>
    <mergeCell ref="K9:L9"/>
    <mergeCell ref="B5:D5"/>
    <mergeCell ref="E5:F5"/>
    <mergeCell ref="G5:H5"/>
    <mergeCell ref="K5:L5"/>
    <mergeCell ref="B6:D6"/>
    <mergeCell ref="E6:F6"/>
    <mergeCell ref="G6:H6"/>
    <mergeCell ref="K6:L6"/>
    <mergeCell ref="B7:D7"/>
    <mergeCell ref="E7:F7"/>
    <mergeCell ref="G7:H7"/>
    <mergeCell ref="K7:L7"/>
    <mergeCell ref="K8:L8"/>
    <mergeCell ref="A14:B16"/>
    <mergeCell ref="A17:L17"/>
    <mergeCell ref="K10:L10"/>
    <mergeCell ref="B11:I11"/>
    <mergeCell ref="K11:L11"/>
    <mergeCell ref="A12:L12"/>
    <mergeCell ref="A13:B13"/>
    <mergeCell ref="C13:D13"/>
    <mergeCell ref="E13:F13"/>
    <mergeCell ref="G13:H13"/>
    <mergeCell ref="I13:J13"/>
    <mergeCell ref="K13:L13"/>
  </mergeCells>
  <phoneticPr fontId="1" type="noConversion"/>
  <pageMargins left="0.39370078740157483" right="0.39370078740157483" top="0.19685039370078741" bottom="0.19685039370078741" header="0.19685039370078741" footer="0.19685039370078741"/>
  <pageSetup paperSize="11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70</vt:i4>
      </vt:variant>
      <vt:variant>
        <vt:lpstr>具名範圍</vt:lpstr>
      </vt:variant>
      <vt:variant>
        <vt:i4>13</vt:i4>
      </vt:variant>
    </vt:vector>
  </HeadingPairs>
  <TitlesOfParts>
    <vt:vector size="83" baseType="lpstr">
      <vt:lpstr>空白-廠商請款單(FOR付款對象為廠商) (2)</vt:lpstr>
      <vt:lpstr>空白-請購(領)單</vt:lpstr>
      <vt:lpstr>網站續約(聚圖)115</vt:lpstr>
      <vt:lpstr>廠房屋簷修繕</vt:lpstr>
      <vt:lpstr>網站續約(聚圖)115-2</vt:lpstr>
      <vt:lpstr>希捷硬碟 POWER 鍵盤</vt:lpstr>
      <vt:lpstr>衛生業務主管回訓</vt:lpstr>
      <vt:lpstr>柵門遙控器</vt:lpstr>
      <vt:lpstr>馬年擺飾</vt:lpstr>
      <vt:lpstr>標線油漆</vt:lpstr>
      <vt:lpstr>空白-請購(領)單 (2)</vt:lpstr>
      <vt:lpstr>空白-請購(領)單 (3)</vt:lpstr>
      <vt:lpstr>消防線路查修</vt:lpstr>
      <vt:lpstr>雜物0327</vt:lpstr>
      <vt:lpstr>Sky115續約</vt:lpstr>
      <vt:lpstr>流水造景</vt:lpstr>
      <vt:lpstr>軌道燈0115</vt:lpstr>
      <vt:lpstr>抽獎箱0122</vt:lpstr>
      <vt:lpstr>噴漆+軌道燈</vt:lpstr>
      <vt:lpstr>油漆</vt:lpstr>
      <vt:lpstr>動力線接頭</vt:lpstr>
      <vt:lpstr>石材護理蠟</vt:lpstr>
      <vt:lpstr>招牌照明燈</vt:lpstr>
      <vt:lpstr>HDMI延長契</vt:lpstr>
      <vt:lpstr>轉接頭</vt:lpstr>
      <vt:lpstr>UPS</vt:lpstr>
      <vt:lpstr>硬碟記憶體</vt:lpstr>
      <vt:lpstr>RCX7890</vt:lpstr>
      <vt:lpstr>軌道燈</vt:lpstr>
      <vt:lpstr>油錢停車費</vt:lpstr>
      <vt:lpstr>WD紅標2T</vt:lpstr>
      <vt:lpstr>電腦包</vt:lpstr>
      <vt:lpstr>矽膠門把</vt:lpstr>
      <vt:lpstr>除草劑+噴瓶</vt:lpstr>
      <vt:lpstr>CR1616</vt:lpstr>
      <vt:lpstr>SG18電料</vt:lpstr>
      <vt:lpstr>Andrew充電器組</vt:lpstr>
      <vt:lpstr>日立檢測費(財務)</vt:lpstr>
      <vt:lpstr>無線滑鼠</vt:lpstr>
      <vt:lpstr>小門鑰匙</vt:lpstr>
      <vt:lpstr>記憶體滑鼠接頭</vt:lpstr>
      <vt:lpstr>偵煙+喇叭</vt:lpstr>
      <vt:lpstr>藍芽喇叭</vt:lpstr>
      <vt:lpstr>壓克力展示架</vt:lpstr>
      <vt:lpstr>定時開關</vt:lpstr>
      <vt:lpstr>油漆封條</vt:lpstr>
      <vt:lpstr>天車遙控器組</vt:lpstr>
      <vt:lpstr>天車保養</vt:lpstr>
      <vt:lpstr>遮雨棚維修</vt:lpstr>
      <vt:lpstr>衛生紙0430</vt:lpstr>
      <vt:lpstr>測試用包裝盒</vt:lpstr>
      <vt:lpstr>625禮品包裝盒</vt:lpstr>
      <vt:lpstr>6.25展會禮品</vt:lpstr>
      <vt:lpstr>展示架 X2</vt:lpstr>
      <vt:lpstr>WTR-5600C</vt:lpstr>
      <vt:lpstr>0326電池</vt:lpstr>
      <vt:lpstr>0325滑鼠</vt:lpstr>
      <vt:lpstr>0307漏水工程</vt:lpstr>
      <vt:lpstr>0307木酢液</vt:lpstr>
      <vt:lpstr>0307 GW</vt:lpstr>
      <vt:lpstr>0307 GW (2)</vt:lpstr>
      <vt:lpstr>0305金山</vt:lpstr>
      <vt:lpstr>0227白板</vt:lpstr>
      <vt:lpstr>0219電瓶水</vt:lpstr>
      <vt:lpstr>0217網域續約</vt:lpstr>
      <vt:lpstr>0217雜物</vt:lpstr>
      <vt:lpstr>0211除鏽劑</vt:lpstr>
      <vt:lpstr>0107標線工程</vt:lpstr>
      <vt:lpstr>0107指紋鎖</vt:lpstr>
      <vt:lpstr>0110白板貼</vt:lpstr>
      <vt:lpstr>'0107標線工程'!Print_Area</vt:lpstr>
      <vt:lpstr>'0219電瓶水'!Print_Area</vt:lpstr>
      <vt:lpstr>'0227白板'!Print_Area</vt:lpstr>
      <vt:lpstr>'0305金山'!Print_Area</vt:lpstr>
      <vt:lpstr>'0307 GW'!Print_Area</vt:lpstr>
      <vt:lpstr>'0307 GW (2)'!Print_Area</vt:lpstr>
      <vt:lpstr>'0307木酢液'!Print_Area</vt:lpstr>
      <vt:lpstr>'0307漏水工程'!Print_Area</vt:lpstr>
      <vt:lpstr>'0325滑鼠'!Print_Area</vt:lpstr>
      <vt:lpstr>'0326電池'!Print_Area</vt:lpstr>
      <vt:lpstr>'WTR-5600C'!Print_Area</vt:lpstr>
      <vt:lpstr>'空白-廠商請款單(FOR付款對象為廠商) (2)'!Print_Area</vt:lpstr>
      <vt:lpstr>'網站續約(聚圖)115'!Print_Area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Liu-PC</dc:creator>
  <cp:lastModifiedBy>HUAN</cp:lastModifiedBy>
  <cp:lastPrinted>2026-04-14T00:53:43Z</cp:lastPrinted>
  <dcterms:created xsi:type="dcterms:W3CDTF">2024-12-10T03:11:54Z</dcterms:created>
  <dcterms:modified xsi:type="dcterms:W3CDTF">2026-04-16T00:12:27Z</dcterms:modified>
</cp:coreProperties>
</file>