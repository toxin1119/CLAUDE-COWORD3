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1400" tabRatio="600" firstSheet="0" activeTab="0" autoFilterDateGrouping="1"/>
  </bookViews>
  <sheets>
    <sheet xmlns:r="http://schemas.openxmlformats.org/officeDocument/2006/relationships" name="出貨單" sheetId="1" state="visible" r:id="rId1"/>
  </sheets>
  <definedNames>
    <definedName name="_xlnm.Print_Area" localSheetId="0">'出貨單'!$A$1:$H$32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0"/>
    </font>
    <font>
      <name val="微軟正黑體"/>
      <charset val="136"/>
      <family val="2"/>
      <b val="1"/>
      <color theme="1"/>
      <sz val="18"/>
    </font>
    <font>
      <name val="微軟正黑體"/>
      <charset val="136"/>
      <family val="2"/>
      <b val="1"/>
      <color rgb="FF007E39"/>
      <sz val="16"/>
    </font>
    <font>
      <name val="微軟正黑體"/>
      <charset val="136"/>
      <family val="2"/>
      <b val="1"/>
      <color theme="1"/>
      <sz val="10"/>
    </font>
    <font>
      <name val="微軟正黑體"/>
      <charset val="136"/>
      <family val="2"/>
      <b val="1"/>
      <color rgb="FFFFFFFF"/>
      <sz val="10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rgb="FFDC2626"/>
      <sz val="12"/>
    </font>
    <font>
      <name val="微軟正黑體"/>
      <charset val="136"/>
      <family val="2"/>
      <i val="1"/>
      <color rgb="FF969696"/>
      <sz val="8"/>
    </font>
  </fonts>
  <fills count="6">
    <fill>
      <patternFill/>
    </fill>
    <fill>
      <patternFill patternType="gray125"/>
    </fill>
    <fill>
      <patternFill patternType="solid">
        <fgColor rgb="FFFFFFE6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F5FCF5"/>
        <bgColor indexed="64"/>
      </patternFill>
    </fill>
    <fill>
      <patternFill patternType="solid">
        <fgColor rgb="FFFEF9C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rgb="FF006432"/>
      </left>
      <right/>
      <top style="medium">
        <color rgb="FF006432"/>
      </top>
      <bottom/>
      <diagonal/>
    </border>
    <border>
      <left style="thin">
        <color rgb="FFB4B4B4"/>
      </left>
      <right/>
      <top style="thin">
        <color rgb="FFB4B4B4"/>
      </top>
      <bottom/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medium">
        <color rgb="FF646464"/>
      </left>
      <right/>
      <top style="medium">
        <color rgb="FF646464"/>
      </top>
      <bottom/>
      <diagonal/>
    </border>
    <border>
      <left style="medium">
        <color rgb="FF646464"/>
      </left>
      <right/>
      <top style="medium">
        <color rgb="FF646464"/>
      </top>
      <bottom style="medium">
        <color rgb="FF6464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4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5" applyAlignment="1" pivotButton="0" quotePrefix="0" xfId="0">
      <alignment vertical="center"/>
    </xf>
    <xf numFmtId="3" fontId="1" fillId="4" borderId="5" applyAlignment="1" pivotButton="0" quotePrefix="0" xfId="0">
      <alignment horizontal="center" vertical="center"/>
    </xf>
    <xf numFmtId="3" fontId="1" fillId="4" borderId="5" applyAlignment="1" pivotButton="0" quotePrefix="0" xfId="0">
      <alignment horizontal="right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3" fontId="1" fillId="0" borderId="5" applyAlignment="1" pivotButton="0" quotePrefix="0" xfId="0">
      <alignment horizontal="center" vertical="center"/>
    </xf>
    <xf numFmtId="3" fontId="1" fillId="0" borderId="6" applyAlignment="1" pivotButton="0" quotePrefix="0" xfId="0">
      <alignment horizontal="center" vertical="center"/>
    </xf>
    <xf numFmtId="3" fontId="1" fillId="0" borderId="5" applyAlignment="1" pivotButton="0" quotePrefix="0" xfId="0">
      <alignment horizontal="right" vertical="center"/>
    </xf>
    <xf numFmtId="3" fontId="1" fillId="0" borderId="6" applyAlignment="1" pivotButton="0" quotePrefix="0" xfId="0">
      <alignment horizontal="right" vertical="center"/>
    </xf>
    <xf numFmtId="0" fontId="4" fillId="0" borderId="7" applyAlignment="1" pivotButton="0" quotePrefix="0" xfId="0">
      <alignment horizontal="right" vertical="center"/>
    </xf>
    <xf numFmtId="3" fontId="4" fillId="0" borderId="7" applyAlignment="1" pivotButton="0" quotePrefix="0" xfId="0">
      <alignment horizontal="right" vertical="center"/>
    </xf>
    <xf numFmtId="0" fontId="7" fillId="5" borderId="8" applyAlignment="1" pivotButton="0" quotePrefix="0" xfId="0">
      <alignment horizontal="right" vertical="center"/>
    </xf>
    <xf numFmtId="3" fontId="8" fillId="5" borderId="8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H32"/>
  <sheetViews>
    <sheetView tabSelected="1" workbookViewId="0">
      <selection activeCell="A1" sqref="A1"/>
    </sheetView>
  </sheetViews>
  <sheetFormatPr baseColWidth="8" defaultRowHeight="13.5"/>
  <cols>
    <col width="6.625" customWidth="1" style="11" min="1" max="1"/>
    <col width="22.625" customWidth="1" style="11" min="2" max="2"/>
    <col width="12.625" customWidth="1" style="11" min="3" max="3"/>
    <col width="8.625" customWidth="1" style="11" min="4" max="4"/>
    <col width="6.625" customWidth="1" style="11" min="5" max="5"/>
    <col width="14.625" customWidth="1" style="11" min="6" max="7"/>
    <col width="18.625" customWidth="1" style="11" min="8" max="8"/>
    <col width="9" customWidth="1" style="11" min="9" max="16384"/>
  </cols>
  <sheetData>
    <row r="1" ht="30" customHeight="1" s="38">
      <c r="A1" s="39" t="inlineStr">
        <is>
          <t>○○○股份有限公司</t>
        </is>
      </c>
      <c r="B1" s="40" t="n"/>
      <c r="C1" s="40" t="n"/>
      <c r="D1" s="40" t="n"/>
      <c r="E1" s="40" t="n"/>
      <c r="F1" s="40" t="n"/>
      <c r="G1" s="40" t="n"/>
      <c r="H1" s="40" t="n"/>
    </row>
    <row r="2" ht="27.95" customHeight="1" s="38">
      <c r="A2" s="41" t="inlineStr">
        <is>
          <t>出  貨  單</t>
        </is>
      </c>
      <c r="B2" s="40" t="n"/>
      <c r="C2" s="40" t="n"/>
      <c r="D2" s="40" t="n"/>
      <c r="E2" s="40" t="n"/>
      <c r="F2" s="40" t="n"/>
      <c r="G2" s="40" t="n"/>
      <c r="H2" s="40" t="n"/>
    </row>
    <row r="3" ht="6" customHeight="1" s="38">
      <c r="A3" s="40" t="n"/>
      <c r="B3" s="40" t="n"/>
      <c r="C3" s="40" t="n"/>
      <c r="D3" s="40" t="n"/>
      <c r="E3" s="40" t="n"/>
      <c r="F3" s="40" t="n"/>
      <c r="G3" s="40" t="n"/>
      <c r="H3" s="40" t="n"/>
    </row>
    <row r="4" ht="21.95" customHeight="1" s="38">
      <c r="A4" s="34" t="inlineStr">
        <is>
          <t>客戶名稱：</t>
        </is>
      </c>
      <c r="C4" s="12" t="n"/>
    </row>
    <row r="5" ht="21.95" customHeight="1" s="38">
      <c r="A5" s="8" t="inlineStr">
        <is>
          <t>聯 絡 人：</t>
        </is>
      </c>
      <c r="B5" s="42" t="n"/>
      <c r="C5" s="9" t="n"/>
      <c r="D5" s="42" t="n"/>
      <c r="E5" s="42" t="n"/>
      <c r="F5" s="42" t="n"/>
      <c r="G5" s="42" t="n"/>
      <c r="H5" s="42" t="n"/>
    </row>
    <row r="6" ht="21.95" customHeight="1" s="38">
      <c r="A6" s="8" t="inlineStr">
        <is>
          <t>送貨地址：</t>
        </is>
      </c>
      <c r="B6" s="42" t="n"/>
      <c r="C6" s="9" t="n"/>
      <c r="D6" s="42" t="n"/>
      <c r="E6" s="42" t="n"/>
      <c r="F6" s="42" t="n"/>
      <c r="G6" s="42" t="n"/>
      <c r="H6" s="42" t="n"/>
    </row>
    <row r="7" ht="21.95" customHeight="1" s="38">
      <c r="A7" s="8" t="inlineStr">
        <is>
          <t>客戶訂單編號：</t>
        </is>
      </c>
      <c r="B7" s="42" t="n"/>
      <c r="C7" s="9" t="n"/>
      <c r="D7" s="42" t="n"/>
      <c r="E7" s="42" t="n"/>
      <c r="F7" s="42" t="n"/>
      <c r="G7" s="42" t="n"/>
      <c r="H7" s="42" t="n"/>
    </row>
    <row r="8" ht="21.95" customHeight="1" s="38">
      <c r="A8" s="8" t="inlineStr">
        <is>
          <t>出貨日期：</t>
        </is>
      </c>
      <c r="B8" s="42" t="n"/>
      <c r="C8" s="9" t="n"/>
      <c r="D8" s="42" t="n"/>
      <c r="E8" s="42" t="n"/>
      <c r="F8" s="42" t="n"/>
      <c r="G8" s="42" t="n"/>
      <c r="H8" s="42" t="n"/>
    </row>
    <row r="9" ht="21.95" customHeight="1" s="38">
      <c r="A9" s="13" t="inlineStr">
        <is>
          <t>交貨條件：</t>
        </is>
      </c>
      <c r="B9" s="43" t="n"/>
      <c r="C9" s="15" t="n"/>
      <c r="D9" s="43" t="n"/>
      <c r="E9" s="43" t="n"/>
      <c r="F9" s="43" t="n"/>
      <c r="G9" s="43" t="n"/>
      <c r="H9" s="43" t="n"/>
    </row>
    <row r="10" ht="8.1" customHeight="1" s="38" thickBot="1"/>
    <row r="11" ht="26.1" customHeight="1" s="38">
      <c r="A11" s="17" t="inlineStr">
        <is>
          <t>項次</t>
        </is>
      </c>
      <c r="B11" s="17" t="inlineStr">
        <is>
          <t>品名</t>
        </is>
      </c>
      <c r="C11" s="17" t="inlineStr">
        <is>
          <t>型號</t>
        </is>
      </c>
      <c r="D11" s="17" t="inlineStr">
        <is>
          <t>數量</t>
        </is>
      </c>
      <c r="E11" s="17" t="inlineStr">
        <is>
          <t>單位</t>
        </is>
      </c>
      <c r="F11" s="17" t="inlineStr">
        <is>
          <t>單價(NTD)</t>
        </is>
      </c>
      <c r="G11" s="17" t="inlineStr">
        <is>
          <t>小計(NTD)</t>
        </is>
      </c>
      <c r="H11" s="17" t="inlineStr">
        <is>
          <t>備註</t>
        </is>
      </c>
    </row>
    <row r="12" ht="21.95" customHeight="1" s="38">
      <c r="A12" s="18" t="n"/>
      <c r="B12" s="19" t="n"/>
      <c r="C12" s="19" t="n"/>
      <c r="D12" s="20" t="n"/>
      <c r="E12" s="18" t="n"/>
      <c r="F12" s="21" t="n"/>
      <c r="G12" s="21">
        <f>IF(D12*F12=0,"",D12*F12)</f>
        <v/>
      </c>
      <c r="H12" s="19" t="n"/>
    </row>
    <row r="13" ht="21.95" customHeight="1" s="38">
      <c r="A13" s="22" t="n"/>
      <c r="B13" s="24" t="n"/>
      <c r="C13" s="24" t="n"/>
      <c r="D13" s="26" t="n"/>
      <c r="E13" s="22" t="n"/>
      <c r="F13" s="28" t="n"/>
      <c r="G13" s="28">
        <f>IF(D13*F13=0,"",D13*F13)</f>
        <v/>
      </c>
      <c r="H13" s="24" t="n"/>
    </row>
    <row r="14" ht="21.95" customHeight="1" s="38">
      <c r="A14" s="18" t="n"/>
      <c r="B14" s="19" t="n"/>
      <c r="C14" s="19" t="n"/>
      <c r="D14" s="20" t="n"/>
      <c r="E14" s="18" t="n"/>
      <c r="F14" s="21" t="n"/>
      <c r="G14" s="21">
        <f>IF(D14*F14=0,"",D14*F14)</f>
        <v/>
      </c>
      <c r="H14" s="19" t="n"/>
    </row>
    <row r="15" ht="21.95" customHeight="1" s="38">
      <c r="A15" s="22" t="n"/>
      <c r="B15" s="24" t="n"/>
      <c r="C15" s="24" t="n"/>
      <c r="D15" s="26" t="n"/>
      <c r="E15" s="22" t="n"/>
      <c r="F15" s="28" t="n"/>
      <c r="G15" s="28">
        <f>IF(D15*F15=0,"",D15*F15)</f>
        <v/>
      </c>
      <c r="H15" s="24" t="n"/>
    </row>
    <row r="16" ht="21.95" customHeight="1" s="38">
      <c r="A16" s="18" t="n"/>
      <c r="B16" s="19" t="n"/>
      <c r="C16" s="19" t="n"/>
      <c r="D16" s="20" t="n"/>
      <c r="E16" s="18" t="n"/>
      <c r="F16" s="21" t="n"/>
      <c r="G16" s="21">
        <f>IF(D16*F16=0,"",D16*F16)</f>
        <v/>
      </c>
      <c r="H16" s="19" t="n"/>
    </row>
    <row r="17" ht="21.95" customHeight="1" s="38">
      <c r="A17" s="22" t="n"/>
      <c r="B17" s="24" t="n"/>
      <c r="C17" s="24" t="n"/>
      <c r="D17" s="26" t="n"/>
      <c r="E17" s="22" t="n"/>
      <c r="F17" s="28" t="n"/>
      <c r="G17" s="28">
        <f>IF(D17*F17=0,"",D17*F17)</f>
        <v/>
      </c>
      <c r="H17" s="24" t="n"/>
    </row>
    <row r="18" ht="21.95" customHeight="1" s="38">
      <c r="A18" s="18" t="n"/>
      <c r="B18" s="19" t="n"/>
      <c r="C18" s="19" t="n"/>
      <c r="D18" s="20" t="n"/>
      <c r="E18" s="18" t="n"/>
      <c r="F18" s="21" t="n"/>
      <c r="G18" s="21">
        <f>IF(D18*F18=0,"",D18*F18)</f>
        <v/>
      </c>
      <c r="H18" s="19" t="n"/>
    </row>
    <row r="19" ht="21.95" customHeight="1" s="38">
      <c r="A19" s="22" t="n"/>
      <c r="B19" s="24" t="n"/>
      <c r="C19" s="24" t="n"/>
      <c r="D19" s="26" t="n"/>
      <c r="E19" s="22" t="n"/>
      <c r="F19" s="28" t="n"/>
      <c r="G19" s="28">
        <f>IF(D19*F19=0,"",D19*F19)</f>
        <v/>
      </c>
      <c r="H19" s="24" t="n"/>
    </row>
    <row r="20" ht="21.95" customHeight="1" s="38">
      <c r="A20" s="18" t="n"/>
      <c r="B20" s="19" t="n"/>
      <c r="C20" s="19" t="n"/>
      <c r="D20" s="20" t="n"/>
      <c r="E20" s="18" t="n"/>
      <c r="F20" s="21" t="n"/>
      <c r="G20" s="21">
        <f>IF(D20*F20=0,"",D20*F20)</f>
        <v/>
      </c>
      <c r="H20" s="19" t="n"/>
    </row>
    <row r="21" ht="21.95" customHeight="1" s="38">
      <c r="A21" s="23" t="n"/>
      <c r="B21" s="25" t="n"/>
      <c r="C21" s="25" t="n"/>
      <c r="D21" s="27" t="n"/>
      <c r="E21" s="23" t="n"/>
      <c r="F21" s="29" t="n"/>
      <c r="G21" s="29">
        <f>IF(D21*F21=0,"",D21*F21)</f>
        <v/>
      </c>
      <c r="H21" s="25" t="n"/>
    </row>
    <row r="22" ht="3.95" customHeight="1" s="38" thickBot="1"/>
    <row r="23" ht="24" customHeight="1" s="38" thickBot="1">
      <c r="A23" s="11" t="n"/>
      <c r="F23" s="30" t="inlineStr">
        <is>
          <t>商品合計</t>
        </is>
      </c>
      <c r="G23" s="31">
        <f>SUM(G12:G21)</f>
        <v/>
      </c>
    </row>
    <row r="24" ht="24" customHeight="1" s="38" thickBot="1">
      <c r="F24" s="30" t="inlineStr">
        <is>
          <t>稅額(5%)</t>
        </is>
      </c>
      <c r="G24" s="31">
        <f>G23*0.05</f>
        <v/>
      </c>
    </row>
    <row r="25" ht="27.95" customHeight="1" s="38" thickBot="1">
      <c r="F25" s="32" t="inlineStr">
        <is>
          <t>總　　計</t>
        </is>
      </c>
      <c r="G25" s="33">
        <f>G23+G24</f>
        <v/>
      </c>
    </row>
    <row r="26" ht="8.1" customHeight="1" s="38"/>
    <row r="27" ht="21.95" customHeight="1" s="38">
      <c r="A27" s="34" t="inlineStr">
        <is>
          <t>備　註：</t>
        </is>
      </c>
      <c r="B27" s="12" t="n"/>
    </row>
    <row r="28" ht="21.95" customHeight="1" s="38">
      <c r="A28" s="36" t="n"/>
      <c r="B28" s="9" t="n"/>
      <c r="C28" s="42" t="n"/>
      <c r="D28" s="42" t="n"/>
      <c r="E28" s="42" t="n"/>
      <c r="F28" s="42" t="n"/>
      <c r="G28" s="42" t="n"/>
      <c r="H28" s="42" t="n"/>
    </row>
    <row r="29" ht="21.95" customHeight="1" s="38">
      <c r="A29" s="35" t="n"/>
      <c r="B29" s="15" t="n"/>
      <c r="C29" s="43" t="n"/>
      <c r="D29" s="43" t="n"/>
      <c r="E29" s="43" t="n"/>
      <c r="F29" s="43" t="n"/>
      <c r="G29" s="43" t="n"/>
      <c r="H29" s="43" t="n"/>
    </row>
    <row r="30" ht="15" customHeight="1" s="38"/>
    <row r="31" ht="27.95" customHeight="1" s="38">
      <c r="A31" s="34" t="inlineStr">
        <is>
          <t>製表人：</t>
        </is>
      </c>
      <c r="B31" s="6" t="n"/>
      <c r="C31" s="44" t="n"/>
      <c r="E31" s="34" t="inlineStr">
        <is>
          <t>審核主管：</t>
        </is>
      </c>
      <c r="F31" s="6" t="n"/>
      <c r="G31" s="44" t="n"/>
    </row>
    <row r="32">
      <c r="A32" s="37" t="inlineStr">
        <is>
          <t>※ 本出貨單經主管簽核後生效，請妥善保存。</t>
        </is>
      </c>
    </row>
  </sheetData>
  <mergeCells count="21">
    <mergeCell ref="C9:H9"/>
    <mergeCell ref="B31:C31"/>
    <mergeCell ref="A1:H1"/>
    <mergeCell ref="A6:B6"/>
    <mergeCell ref="A7:B7"/>
    <mergeCell ref="C8:H8"/>
    <mergeCell ref="C7:H7"/>
    <mergeCell ref="B27:H27"/>
    <mergeCell ref="A2:H2"/>
    <mergeCell ref="A5:B5"/>
    <mergeCell ref="F31:G31"/>
    <mergeCell ref="A23:E23"/>
    <mergeCell ref="A32:H32"/>
    <mergeCell ref="A8:B8"/>
    <mergeCell ref="A4:B4"/>
    <mergeCell ref="C6:H6"/>
    <mergeCell ref="C5:H5"/>
    <mergeCell ref="B29:H29"/>
    <mergeCell ref="C4:H4"/>
    <mergeCell ref="A9:B9"/>
    <mergeCell ref="B28:H28"/>
  </mergeCells>
  <pageMargins left="0.5905511811023622" right="0.5905511811023622" top="0.5905511811023622" bottom="0.5905511811023622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HUAN</dc:creator>
  <dcterms:created xmlns:dcterms="http://purl.org/dc/terms/" xmlns:xsi="http://www.w3.org/2001/XMLSchema-instance" xsi:type="dcterms:W3CDTF">2026-04-20T05:57:22Z</dcterms:created>
  <dcterms:modified xmlns:dcterms="http://purl.org/dc/terms/" xmlns:xsi="http://www.w3.org/2001/XMLSchema-instance" xsi:type="dcterms:W3CDTF">2026-04-21T06:03:29Z</dcterms:modified>
  <cp:lastModifiedBy>HUAN</cp:lastModifiedBy>
</cp:coreProperties>
</file>