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銷售明細" sheetId="1" state="visible" r:id="rId3"/>
    <sheet name="圖表分析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<sst xmlns="http://schemas.openxmlformats.org/spreadsheetml/2006/main" count="213" uniqueCount="128">
  <si>
    <r>
      <rPr>
        <b val="true"/>
        <sz val="18"/>
        <color rgb="FFFFFFFF"/>
        <rFont val="Arial"/>
        <family val="0"/>
        <charset val="1"/>
      </rPr>
      <t xml:space="preserve">2026</t>
    </r>
    <r>
      <rPr>
        <b val="true"/>
        <sz val="18"/>
        <color rgb="FFFFFFFF"/>
        <rFont val="DejaVu Sans"/>
        <family val="2"/>
      </rPr>
      <t xml:space="preserve">年度 設備銷售月報表 ── 第一季（</t>
    </r>
    <r>
      <rPr>
        <b val="true"/>
        <sz val="18"/>
        <color rgb="FFFFFFFF"/>
        <rFont val="Arial"/>
        <family val="0"/>
        <charset val="1"/>
      </rPr>
      <t xml:space="preserve">Q1</t>
    </r>
    <r>
      <rPr>
        <b val="true"/>
        <sz val="18"/>
        <color rgb="FFFFFFFF"/>
        <rFont val="DejaVu Sans"/>
        <family val="2"/>
      </rPr>
      <t xml:space="preserve">）</t>
    </r>
  </si>
  <si>
    <r>
      <rPr>
        <sz val="10"/>
        <color rgb="FF1F3864"/>
        <rFont val="DejaVu Sans"/>
        <family val="2"/>
      </rPr>
      <t xml:space="preserve">報表期間：</t>
    </r>
    <r>
      <rPr>
        <sz val="10"/>
        <color rgb="FF1F3864"/>
        <rFont val="DejaVu Sans"/>
        <family val="2"/>
        <charset val="1"/>
      </rPr>
      <t xml:space="preserve">2026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DejaVu Sans"/>
        <family val="2"/>
        <charset val="1"/>
      </rPr>
      <t xml:space="preserve">1 </t>
    </r>
    <r>
      <rPr>
        <sz val="10"/>
        <color rgb="FF1F3864"/>
        <rFont val="DejaVu Sans"/>
        <family val="2"/>
      </rPr>
      <t xml:space="preserve">月 ～ </t>
    </r>
    <r>
      <rPr>
        <sz val="10"/>
        <color rgb="FF1F3864"/>
        <rFont val="DejaVu Sans"/>
        <family val="2"/>
        <charset val="1"/>
      </rPr>
      <t xml:space="preserve">3 </t>
    </r>
    <r>
      <rPr>
        <sz val="10"/>
        <color rgb="FF1F3864"/>
        <rFont val="DejaVu Sans"/>
        <family val="2"/>
      </rPr>
      <t xml:space="preserve">月　　製表日期：</t>
    </r>
    <r>
      <rPr>
        <sz val="10"/>
        <color rgb="FF1F3864"/>
        <rFont val="DejaVu Sans"/>
        <family val="2"/>
        <charset val="1"/>
      </rPr>
      <t xml:space="preserve">2026 </t>
    </r>
    <r>
      <rPr>
        <sz val="10"/>
        <color rgb="FF1F3864"/>
        <rFont val="DejaVu Sans"/>
        <family val="2"/>
      </rPr>
      <t xml:space="preserve">年 </t>
    </r>
    <r>
      <rPr>
        <sz val="10"/>
        <color rgb="FF1F3864"/>
        <rFont val="DejaVu Sans"/>
        <family val="2"/>
        <charset val="1"/>
      </rPr>
      <t xml:space="preserve">4 </t>
    </r>
    <r>
      <rPr>
        <sz val="10"/>
        <color rgb="FF1F3864"/>
        <rFont val="DejaVu Sans"/>
        <family val="2"/>
      </rPr>
      <t xml:space="preserve">月 </t>
    </r>
    <r>
      <rPr>
        <sz val="10"/>
        <color rgb="FF1F3864"/>
        <rFont val="DejaVu Sans"/>
        <family val="2"/>
        <charset val="1"/>
      </rPr>
      <t xml:space="preserve">5 </t>
    </r>
    <r>
      <rPr>
        <sz val="10"/>
        <color rgb="FF1F3864"/>
        <rFont val="DejaVu Sans"/>
        <family val="2"/>
      </rPr>
      <t xml:space="preserve">日　　製表單位：業務部　　製表人：劉志豪 業務經理</t>
    </r>
  </si>
  <si>
    <t xml:space="preserve">【一月份銷售明細】</t>
  </si>
  <si>
    <t xml:space="preserve">產品型號</t>
  </si>
  <si>
    <t xml:space="preserve">品名</t>
  </si>
  <si>
    <t xml:space="preserve">銷售數量</t>
  </si>
  <si>
    <r>
      <rPr>
        <b val="true"/>
        <sz val="10"/>
        <color rgb="FFFFFFFF"/>
        <rFont val="DejaVu Sans"/>
        <family val="2"/>
      </rPr>
      <t xml:space="preserve">單價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</si>
  <si>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</si>
  <si>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毛利率</t>
  </si>
  <si>
    <t xml:space="preserve">SG-200</t>
  </si>
  <si>
    <t xml:space="preserve">自動磨漿機</t>
  </si>
  <si>
    <t xml:space="preserve">8</t>
  </si>
  <si>
    <t xml:space="preserve">28.5</t>
  </si>
  <si>
    <t xml:space="preserve">228.0</t>
  </si>
  <si>
    <t xml:space="preserve">42%</t>
  </si>
  <si>
    <t xml:space="preserve">SG-100</t>
  </si>
  <si>
    <t xml:space="preserve">小型磨漿機</t>
  </si>
  <si>
    <t xml:space="preserve">12</t>
  </si>
  <si>
    <t xml:space="preserve">15.0</t>
  </si>
  <si>
    <t xml:space="preserve">180.0</t>
  </si>
  <si>
    <t xml:space="preserve">38%</t>
  </si>
  <si>
    <t xml:space="preserve">BT-500</t>
  </si>
  <si>
    <t xml:space="preserve">煮漿機</t>
  </si>
  <si>
    <t xml:space="preserve">6</t>
  </si>
  <si>
    <t xml:space="preserve">19.8</t>
  </si>
  <si>
    <t xml:space="preserve">118.8</t>
  </si>
  <si>
    <t xml:space="preserve">45%</t>
  </si>
  <si>
    <t xml:space="preserve">BT-300</t>
  </si>
  <si>
    <t xml:space="preserve">小型煮漿機</t>
  </si>
  <si>
    <t xml:space="preserve">9</t>
  </si>
  <si>
    <t xml:space="preserve">12.5</t>
  </si>
  <si>
    <t xml:space="preserve">112.5</t>
  </si>
  <si>
    <t xml:space="preserve">40%</t>
  </si>
  <si>
    <t xml:space="preserve">TM-A30</t>
  </si>
  <si>
    <t xml:space="preserve">豆腐成型模具</t>
  </si>
  <si>
    <t xml:space="preserve">25</t>
  </si>
  <si>
    <t xml:space="preserve">1.5</t>
  </si>
  <si>
    <t xml:space="preserve">37.5</t>
  </si>
  <si>
    <t xml:space="preserve">55%</t>
  </si>
  <si>
    <t xml:space="preserve">FS-100</t>
  </si>
  <si>
    <t xml:space="preserve">濾漿機</t>
  </si>
  <si>
    <t xml:space="preserve">4</t>
  </si>
  <si>
    <t xml:space="preserve">22.0</t>
  </si>
  <si>
    <t xml:space="preserve">88.0</t>
  </si>
  <si>
    <t xml:space="preserve">35%</t>
  </si>
  <si>
    <t xml:space="preserve">HP-200</t>
  </si>
  <si>
    <t xml:space="preserve">壓榨機</t>
  </si>
  <si>
    <t xml:space="preserve">3</t>
  </si>
  <si>
    <t xml:space="preserve">35.0</t>
  </si>
  <si>
    <t xml:space="preserve">105.0</t>
  </si>
  <si>
    <t xml:space="preserve">48%</t>
  </si>
  <si>
    <t xml:space="preserve">SP-MISC</t>
  </si>
  <si>
    <t xml:space="preserve">零件與耗材</t>
  </si>
  <si>
    <t xml:space="preserve">─</t>
  </si>
  <si>
    <t xml:space="preserve">65.0</t>
  </si>
  <si>
    <t xml:space="preserve">72%</t>
  </si>
  <si>
    <t xml:space="preserve">一月合計</t>
  </si>
  <si>
    <t xml:space="preserve">【二月份銷售明細】 ── 農曆年影響，工作天數較少</t>
  </si>
  <si>
    <t xml:space="preserve">85.5</t>
  </si>
  <si>
    <t xml:space="preserve">41%</t>
  </si>
  <si>
    <t xml:space="preserve">5</t>
  </si>
  <si>
    <t xml:space="preserve">75.0</t>
  </si>
  <si>
    <t xml:space="preserve">37%</t>
  </si>
  <si>
    <t xml:space="preserve">2</t>
  </si>
  <si>
    <t xml:space="preserve">39.6</t>
  </si>
  <si>
    <t xml:space="preserve">44%</t>
  </si>
  <si>
    <t xml:space="preserve">50.0</t>
  </si>
  <si>
    <t xml:space="preserve">39%</t>
  </si>
  <si>
    <t xml:space="preserve">10</t>
  </si>
  <si>
    <t xml:space="preserve">54%</t>
  </si>
  <si>
    <t xml:space="preserve">1</t>
  </si>
  <si>
    <t xml:space="preserve">33%</t>
  </si>
  <si>
    <t xml:space="preserve">0</t>
  </si>
  <si>
    <t xml:space="preserve">0.0</t>
  </si>
  <si>
    <t xml:space="preserve">28.0</t>
  </si>
  <si>
    <t xml:space="preserve">70%</t>
  </si>
  <si>
    <t xml:space="preserve">二月合計</t>
  </si>
  <si>
    <t xml:space="preserve">【三月份銷售明細】</t>
  </si>
  <si>
    <t xml:space="preserve">285.0</t>
  </si>
  <si>
    <t xml:space="preserve">43%</t>
  </si>
  <si>
    <t xml:space="preserve">15</t>
  </si>
  <si>
    <t xml:space="preserve">225.0</t>
  </si>
  <si>
    <t xml:space="preserve">158.4</t>
  </si>
  <si>
    <t xml:space="preserve">46%</t>
  </si>
  <si>
    <t xml:space="preserve">11</t>
  </si>
  <si>
    <t xml:space="preserve">137.5</t>
  </si>
  <si>
    <t xml:space="preserve">30</t>
  </si>
  <si>
    <t xml:space="preserve">45.0</t>
  </si>
  <si>
    <t xml:space="preserve">56%</t>
  </si>
  <si>
    <t xml:space="preserve">132.0</t>
  </si>
  <si>
    <t xml:space="preserve">36%</t>
  </si>
  <si>
    <t xml:space="preserve">175.0</t>
  </si>
  <si>
    <t xml:space="preserve">49%</t>
  </si>
  <si>
    <t xml:space="preserve">82.0</t>
  </si>
  <si>
    <t xml:space="preserve">73%</t>
  </si>
  <si>
    <t xml:space="preserve">三月合計</t>
  </si>
  <si>
    <r>
      <rPr>
        <b val="true"/>
        <sz val="13"/>
        <color rgb="FFFFFFFF"/>
        <rFont val="DejaVu Sans"/>
        <family val="2"/>
      </rPr>
      <t xml:space="preserve">【</t>
    </r>
    <r>
      <rPr>
        <b val="true"/>
        <sz val="13"/>
        <color rgb="FFFFFFFF"/>
        <rFont val="DejaVu Sans"/>
        <family val="2"/>
        <charset val="1"/>
      </rPr>
      <t xml:space="preserve">Q1 </t>
    </r>
    <r>
      <rPr>
        <b val="true"/>
        <sz val="13"/>
        <color rgb="FFFFFFFF"/>
        <rFont val="DejaVu Sans"/>
        <family val="2"/>
      </rPr>
      <t xml:space="preserve">季度摘要】</t>
    </r>
  </si>
  <si>
    <r>
      <rPr>
        <b val="true"/>
        <sz val="10"/>
        <color rgb="FFFFFFFF"/>
        <rFont val="Arial"/>
        <family val="0"/>
        <charset val="1"/>
      </rPr>
      <t xml:space="preserve">Q1 </t>
    </r>
    <r>
      <rPr>
        <b val="true"/>
        <sz val="10"/>
        <color rgb="FFFFFFFF"/>
        <rFont val="DejaVu Sans"/>
        <family val="2"/>
      </rPr>
      <t xml:space="preserve">總營收</t>
    </r>
  </si>
  <si>
    <t xml:space="preserve">萬元</t>
  </si>
  <si>
    <r>
      <rPr>
        <b val="true"/>
        <sz val="10"/>
        <color rgb="FF1F3864"/>
        <rFont val="DejaVu Sans"/>
        <family val="2"/>
      </rPr>
      <t xml:space="preserve">去年同期（</t>
    </r>
    <r>
      <rPr>
        <b val="true"/>
        <sz val="10"/>
        <color rgb="FF1F3864"/>
        <rFont val="DejaVu Sans"/>
        <family val="2"/>
        <charset val="1"/>
      </rPr>
      <t xml:space="preserve">Q1 2025</t>
    </r>
    <r>
      <rPr>
        <b val="true"/>
        <sz val="10"/>
        <color rgb="FF1F3864"/>
        <rFont val="DejaVu Sans"/>
        <family val="2"/>
      </rPr>
      <t xml:space="preserve">）</t>
    </r>
  </si>
  <si>
    <t xml:space="preserve">年增率</t>
  </si>
  <si>
    <r>
      <rPr>
        <sz val="10"/>
        <rFont val="Arial"/>
        <family val="0"/>
        <charset val="1"/>
      </rPr>
      <t xml:space="preserve">(+15.8%)</t>
    </r>
    <r>
      <rPr>
        <sz val="10"/>
        <rFont val="DejaVu Sans"/>
        <family val="2"/>
      </rPr>
      <t xml:space="preserve">，較去年同期 </t>
    </r>
    <r>
      <rPr>
        <sz val="10"/>
        <rFont val="Arial"/>
        <family val="0"/>
        <charset val="1"/>
      </rPr>
      <t xml:space="preserve">2,150.3 </t>
    </r>
    <r>
      <rPr>
        <sz val="10"/>
        <rFont val="DejaVu Sans"/>
        <family val="2"/>
      </rPr>
      <t xml:space="preserve">萬元成長</t>
    </r>
  </si>
  <si>
    <t xml:space="preserve">(+15.8%)</t>
  </si>
  <si>
    <t xml:space="preserve">月均營收</t>
  </si>
  <si>
    <t xml:space="preserve">最佳單月</t>
  </si>
  <si>
    <r>
      <rPr>
        <sz val="10"/>
        <color rgb="FF1F3864"/>
        <rFont val="DejaVu Sans"/>
        <family val="2"/>
      </rPr>
      <t xml:space="preserve">三月（</t>
    </r>
    <r>
      <rPr>
        <sz val="10"/>
        <color rgb="FF1F3864"/>
        <rFont val="DejaVu Sans"/>
        <family val="2"/>
        <charset val="1"/>
      </rPr>
      <t xml:space="preserve">1,239.9 </t>
    </r>
    <r>
      <rPr>
        <sz val="10"/>
        <color rgb="FF1F3864"/>
        <rFont val="DejaVu Sans"/>
        <family val="2"/>
      </rPr>
      <t xml:space="preserve">萬元）</t>
    </r>
  </si>
  <si>
    <t xml:space="preserve">最差單月</t>
  </si>
  <si>
    <r>
      <rPr>
        <sz val="10"/>
        <color rgb="FF1F3864"/>
        <rFont val="DejaVu Sans"/>
        <family val="2"/>
      </rPr>
      <t xml:space="preserve">二月（</t>
    </r>
    <r>
      <rPr>
        <sz val="10"/>
        <color rgb="FF1F3864"/>
        <rFont val="DejaVu Sans"/>
        <family val="2"/>
        <charset val="1"/>
      </rPr>
      <t xml:space="preserve">315.1 </t>
    </r>
    <r>
      <rPr>
        <sz val="10"/>
        <color rgb="FF1F3864"/>
        <rFont val="DejaVu Sans"/>
        <family val="2"/>
      </rPr>
      <t xml:space="preserve">萬元）── 受農曆年影響</t>
    </r>
  </si>
  <si>
    <r>
      <rPr>
        <b val="true"/>
        <sz val="10"/>
        <color rgb="FF1F3864"/>
        <rFont val="DejaVu Sans"/>
        <family val="2"/>
      </rPr>
      <t xml:space="preserve">磨漿機系列（</t>
    </r>
    <r>
      <rPr>
        <b val="true"/>
        <sz val="10"/>
        <color rgb="FF1F3864"/>
        <rFont val="DejaVu Sans"/>
        <family val="2"/>
        <charset val="1"/>
      </rPr>
      <t xml:space="preserve">SG</t>
    </r>
    <r>
      <rPr>
        <b val="true"/>
        <sz val="10"/>
        <color rgb="FF1F3864"/>
        <rFont val="DejaVu Sans"/>
        <family val="2"/>
      </rPr>
      <t xml:space="preserve">）佔比</t>
    </r>
  </si>
  <si>
    <t xml:space="preserve">46.3%</t>
  </si>
  <si>
    <t xml:space="preserve">最大產品線</t>
  </si>
  <si>
    <r>
      <rPr>
        <b val="true"/>
        <sz val="10"/>
        <color rgb="FF1F3864"/>
        <rFont val="DejaVu Sans"/>
        <family val="2"/>
      </rPr>
      <t xml:space="preserve">煮漿機系列（</t>
    </r>
    <r>
      <rPr>
        <b val="true"/>
        <sz val="10"/>
        <color rgb="FF1F3864"/>
        <rFont val="DejaVu Sans"/>
        <family val="2"/>
        <charset val="1"/>
      </rPr>
      <t xml:space="preserve">BT</t>
    </r>
    <r>
      <rPr>
        <b val="true"/>
        <sz val="10"/>
        <color rgb="FF1F3864"/>
        <rFont val="DejaVu Sans"/>
        <family val="2"/>
      </rPr>
      <t xml:space="preserve">）佔比</t>
    </r>
  </si>
  <si>
    <t xml:space="preserve">24.8%</t>
  </si>
  <si>
    <t xml:space="preserve">第二大產品線</t>
  </si>
  <si>
    <r>
      <rPr>
        <b val="true"/>
        <sz val="16"/>
        <color rgb="FFFFFFFF"/>
        <rFont val="Arial"/>
        <family val="0"/>
        <charset val="1"/>
      </rPr>
      <t xml:space="preserve">2026</t>
    </r>
    <r>
      <rPr>
        <b val="true"/>
        <sz val="16"/>
        <color rgb="FFFFFFFF"/>
        <rFont val="DejaVu Sans"/>
        <family val="2"/>
      </rPr>
      <t xml:space="preserve">年 </t>
    </r>
    <r>
      <rPr>
        <b val="true"/>
        <sz val="16"/>
        <color rgb="FFFFFFFF"/>
        <rFont val="Arial"/>
        <family val="0"/>
        <charset val="1"/>
      </rPr>
      <t xml:space="preserve">Q1 </t>
    </r>
    <r>
      <rPr>
        <b val="true"/>
        <sz val="16"/>
        <color rgb="FFFFFFFF"/>
        <rFont val="DejaVu Sans"/>
        <family val="2"/>
      </rPr>
      <t xml:space="preserve">銷售趨勢圖表分析</t>
    </r>
  </si>
  <si>
    <r>
      <rPr>
        <b val="true"/>
        <sz val="10"/>
        <color rgb="FFFFFFFF"/>
        <rFont val="DejaVu Sans"/>
        <family val="2"/>
      </rPr>
      <t xml:space="preserve">一月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</si>
  <si>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二月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</si>
  <si>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三月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</si>
  <si>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Q1</t>
    </r>
    <r>
      <rPr>
        <b val="true"/>
        <sz val="10"/>
        <color rgb="FFFFFFFF"/>
        <rFont val="DejaVu Sans"/>
        <family val="2"/>
      </rPr>
      <t xml:space="preserve">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萬元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</si>
  <si>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Q1</t>
    </r>
    <r>
      <rPr>
        <b val="true"/>
        <sz val="10"/>
        <color rgb="FFFFFFFF"/>
        <rFont val="DejaVu Sans"/>
        <family val="2"/>
      </rPr>
      <t xml:space="preserve">佔比</t>
    </r>
  </si>
  <si>
    <t xml:space="preserve">24.0%</t>
  </si>
  <si>
    <t xml:space="preserve">19.3%</t>
  </si>
  <si>
    <t xml:space="preserve">12.7%</t>
  </si>
  <si>
    <t xml:space="preserve">12.0%</t>
  </si>
  <si>
    <t xml:space="preserve">3.9%</t>
  </si>
  <si>
    <t xml:space="preserve">9.7%</t>
  </si>
  <si>
    <t xml:space="preserve">11.2%</t>
  </si>
  <si>
    <t xml:space="preserve">7.0%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</si>
</sst>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DejaVu Sans"/>
      <family val="2"/>
    </font>
    <font>
      <sz val="10"/>
      <color rgb="FF1F3864"/>
      <name val="DejaVu Sans"/>
      <family val="2"/>
    </font>
    <font>
      <sz val="10"/>
      <color rgb="FF1F3864"/>
      <name val="DejaVu Sans"/>
      <family val="2"/>
      <charset val="1"/>
    </font>
    <font>
      <b val="true"/>
      <sz val="12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DejaVu Sans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666666"/>
      <name val="DejaVu Sans"/>
      <family val="2"/>
    </font>
    <font>
      <b val="true"/>
      <sz val="10"/>
      <color rgb="FF1F3864"/>
      <name val="DejaVu Sans"/>
      <family val="2"/>
    </font>
    <font>
      <b val="true"/>
      <sz val="10"/>
      <color rgb="FF1F3864"/>
      <name val="DejaVu Sans"/>
      <family val="2"/>
      <charset val="1"/>
    </font>
    <font>
      <sz val="9"/>
      <color rgb="FF66666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B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EAF0FB"/>
      </patternFill>
    </fill>
    <fill>
      <patternFill patternType="solid">
        <fgColor rgb="FFC9A227"/>
        <bgColor rgb="FF9BBB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C9A227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Q1 各月份 各產品線 銷售額（萬元）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圖表分析!B3</c:f>
              <c:strCache>
                <c:ptCount val="1"/>
                <c:pt idx="0">
                  <c:v>一月(萬元)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圖表分析!$A$4:$A$12</c:f>
              <c:strCache>
                <c:ptCount val="9"/>
                <c:pt idx="0">
                  <c:v>SG-200</c:v>
                </c:pt>
                <c:pt idx="1">
                  <c:v>SG-100</c:v>
                </c:pt>
                <c:pt idx="2">
                  <c:v>BT-500</c:v>
                </c:pt>
                <c:pt idx="3">
                  <c:v>BT-300</c:v>
                </c:pt>
                <c:pt idx="4">
                  <c:v>TM-A30</c:v>
                </c:pt>
                <c:pt idx="5">
                  <c:v>FS-100</c:v>
                </c:pt>
                <c:pt idx="6">
                  <c:v>HP-200</c:v>
                </c:pt>
                <c:pt idx="7">
                  <c:v>SP-MISC</c:v>
                </c:pt>
                <c:pt idx="8">
                  <c:v/>
                </c:pt>
              </c:strCache>
            </c:strRef>
          </c:cat>
          <c:val>
            <c:numRef>
              <c:f>圖表分析!$B$4:$B$12</c:f>
              <c:numCache>
                <c:formatCode>#,##0.0</c:formatCode>
                <c:ptCount val="9"/>
                <c:pt idx="0">
                  <c:v>228</c:v>
                </c:pt>
                <c:pt idx="1">
                  <c:v>180</c:v>
                </c:pt>
                <c:pt idx="2">
                  <c:v>118.8</c:v>
                </c:pt>
                <c:pt idx="3">
                  <c:v>112.5</c:v>
                </c:pt>
                <c:pt idx="4">
                  <c:v>37.5</c:v>
                </c:pt>
                <c:pt idx="5">
                  <c:v>88</c:v>
                </c:pt>
                <c:pt idx="6">
                  <c:v>105</c:v>
                </c:pt>
                <c:pt idx="7">
                  <c:v>65</c:v>
                </c:pt>
              </c:numCache>
            </c:numRef>
          </c:val>
        </c:ser>
        <c:ser>
          <c:idx val="1"/>
          <c:order val="1"/>
          <c:tx>
            <c:strRef>
              <c:f>圖表分析!C3</c:f>
              <c:strCache>
                <c:ptCount val="1"/>
                <c:pt idx="0">
                  <c:v>二月(萬元)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圖表分析!$A$4:$A$12</c:f>
              <c:strCache>
                <c:ptCount val="9"/>
                <c:pt idx="0">
                  <c:v>SG-200</c:v>
                </c:pt>
                <c:pt idx="1">
                  <c:v>SG-100</c:v>
                </c:pt>
                <c:pt idx="2">
                  <c:v>BT-500</c:v>
                </c:pt>
                <c:pt idx="3">
                  <c:v>BT-300</c:v>
                </c:pt>
                <c:pt idx="4">
                  <c:v>TM-A30</c:v>
                </c:pt>
                <c:pt idx="5">
                  <c:v>FS-100</c:v>
                </c:pt>
                <c:pt idx="6">
                  <c:v>HP-200</c:v>
                </c:pt>
                <c:pt idx="7">
                  <c:v>SP-MISC</c:v>
                </c:pt>
                <c:pt idx="8">
                  <c:v/>
                </c:pt>
              </c:strCache>
            </c:strRef>
          </c:cat>
          <c:val>
            <c:numRef>
              <c:f>圖表分析!$C$4:$C$12</c:f>
              <c:numCache>
                <c:formatCode>#,##0.0</c:formatCode>
                <c:ptCount val="9"/>
                <c:pt idx="0">
                  <c:v>85.5</c:v>
                </c:pt>
                <c:pt idx="1">
                  <c:v>75</c:v>
                </c:pt>
                <c:pt idx="2">
                  <c:v>39.6</c:v>
                </c:pt>
                <c:pt idx="3">
                  <c:v>50</c:v>
                </c:pt>
                <c:pt idx="4">
                  <c:v>15</c:v>
                </c:pt>
                <c:pt idx="5">
                  <c:v>22</c:v>
                </c:pt>
                <c:pt idx="6">
                  <c:v>0</c:v>
                </c:pt>
                <c:pt idx="7">
                  <c:v>28</c:v>
                </c:pt>
              </c:numCache>
            </c:numRef>
          </c:val>
        </c:ser>
        <c:ser>
          <c:idx val="2"/>
          <c:order val="2"/>
          <c:tx>
            <c:strRef>
              <c:f>圖表分析!D3</c:f>
              <c:strCache>
                <c:ptCount val="1"/>
                <c:pt idx="0">
                  <c:v>三月(萬元)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圖表分析!$A$4:$A$12</c:f>
              <c:strCache>
                <c:ptCount val="9"/>
                <c:pt idx="0">
                  <c:v>SG-200</c:v>
                </c:pt>
                <c:pt idx="1">
                  <c:v>SG-100</c:v>
                </c:pt>
                <c:pt idx="2">
                  <c:v>BT-500</c:v>
                </c:pt>
                <c:pt idx="3">
                  <c:v>BT-300</c:v>
                </c:pt>
                <c:pt idx="4">
                  <c:v>TM-A30</c:v>
                </c:pt>
                <c:pt idx="5">
                  <c:v>FS-100</c:v>
                </c:pt>
                <c:pt idx="6">
                  <c:v>HP-200</c:v>
                </c:pt>
                <c:pt idx="7">
                  <c:v>SP-MISC</c:v>
                </c:pt>
                <c:pt idx="8">
                  <c:v/>
                </c:pt>
              </c:strCache>
            </c:strRef>
          </c:cat>
          <c:val>
            <c:numRef>
              <c:f>圖表分析!$D$4:$D$12</c:f>
              <c:numCache>
                <c:formatCode>#,##0.0</c:formatCode>
                <c:ptCount val="9"/>
                <c:pt idx="0">
                  <c:v>285</c:v>
                </c:pt>
                <c:pt idx="1">
                  <c:v>225</c:v>
                </c:pt>
                <c:pt idx="2">
                  <c:v>158.4</c:v>
                </c:pt>
                <c:pt idx="3">
                  <c:v>137.5</c:v>
                </c:pt>
                <c:pt idx="4">
                  <c:v>45</c:v>
                </c:pt>
                <c:pt idx="5">
                  <c:v>132</c:v>
                </c:pt>
                <c:pt idx="6">
                  <c:v>175</c:v>
                </c:pt>
                <c:pt idx="7">
                  <c:v>82</c:v>
                </c:pt>
              </c:numCache>
            </c:numRef>
          </c:val>
        </c:ser>
        <c:gapWidth val="150"/>
        <c:overlap val="0"/>
        <c:axId val="74018481"/>
        <c:axId val="61909232"/>
      </c:barChart>
      <c:catAx>
        <c:axId val="74018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產品型號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09232"/>
        <c:crosses val="autoZero"/>
        <c:auto val="1"/>
        <c:lblAlgn val="ctr"/>
        <c:lblOffset val="100"/>
        <c:noMultiLvlLbl val="0"/>
      </c:catAx>
      <c:valAx>
        <c:axId val="61909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銷售額（萬元）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0184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8</xdr:col>
      <xdr:colOff>118440</xdr:colOff>
      <xdr:row>39</xdr:row>
      <xdr:rowOff>86400</xdr:rowOff>
    </xdr:to>
    <xdr:graphicFrame>
      <xdr:nvGraphicFramePr>
        <xdr:cNvPr id="1" name="Chart 1"/>
        <xdr:cNvGraphicFramePr/>
      </xdr:nvGraphicFramePr>
      <xdr:xfrm>
        <a:off x="0" y="331488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0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5.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9.5" hidden="false" customHeight="true" outlineLevel="0" collapsed="false">
      <c r="A6" s="6" t="s">
        <v>9</v>
      </c>
      <c r="B6" s="7" t="s">
        <v>10</v>
      </c>
      <c r="C6" s="8" t="s">
        <v>11</v>
      </c>
      <c r="D6" s="8" t="s">
        <v>12</v>
      </c>
      <c r="E6" s="8" t="s">
        <v>13</v>
      </c>
      <c r="F6" s="8" t="s">
        <v>14</v>
      </c>
    </row>
    <row r="7" customFormat="false" ht="19.5" hidden="false" customHeight="true" outlineLevel="0" collapsed="false">
      <c r="A7" s="9" t="s">
        <v>15</v>
      </c>
      <c r="B7" s="10" t="s">
        <v>16</v>
      </c>
      <c r="C7" s="11" t="s">
        <v>17</v>
      </c>
      <c r="D7" s="11" t="s">
        <v>18</v>
      </c>
      <c r="E7" s="11" t="s">
        <v>19</v>
      </c>
      <c r="F7" s="11" t="s">
        <v>20</v>
      </c>
    </row>
    <row r="8" customFormat="false" ht="19.5" hidden="false" customHeight="true" outlineLevel="0" collapsed="false">
      <c r="A8" s="6" t="s">
        <v>21</v>
      </c>
      <c r="B8" s="7" t="s">
        <v>22</v>
      </c>
      <c r="C8" s="8" t="s">
        <v>23</v>
      </c>
      <c r="D8" s="8" t="s">
        <v>24</v>
      </c>
      <c r="E8" s="8" t="s">
        <v>25</v>
      </c>
      <c r="F8" s="8" t="s">
        <v>26</v>
      </c>
    </row>
    <row r="9" customFormat="false" ht="19.5" hidden="false" customHeight="true" outlineLevel="0" collapsed="false">
      <c r="A9" s="9" t="s">
        <v>27</v>
      </c>
      <c r="B9" s="10" t="s">
        <v>28</v>
      </c>
      <c r="C9" s="11" t="s">
        <v>29</v>
      </c>
      <c r="D9" s="11" t="s">
        <v>30</v>
      </c>
      <c r="E9" s="11" t="s">
        <v>31</v>
      </c>
      <c r="F9" s="11" t="s">
        <v>32</v>
      </c>
    </row>
    <row r="10" customFormat="false" ht="19.5" hidden="false" customHeight="true" outlineLevel="0" collapsed="false">
      <c r="A10" s="6" t="s">
        <v>33</v>
      </c>
      <c r="B10" s="7" t="s">
        <v>34</v>
      </c>
      <c r="C10" s="8" t="s">
        <v>35</v>
      </c>
      <c r="D10" s="8" t="s">
        <v>36</v>
      </c>
      <c r="E10" s="8" t="s">
        <v>37</v>
      </c>
      <c r="F10" s="8" t="s">
        <v>38</v>
      </c>
    </row>
    <row r="11" customFormat="false" ht="19.5" hidden="false" customHeight="true" outlineLevel="0" collapsed="false">
      <c r="A11" s="9" t="s">
        <v>39</v>
      </c>
      <c r="B11" s="10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</row>
    <row r="12" customFormat="false" ht="19.5" hidden="false" customHeight="true" outlineLevel="0" collapsed="false">
      <c r="A12" s="6" t="s">
        <v>45</v>
      </c>
      <c r="B12" s="7" t="s">
        <v>46</v>
      </c>
      <c r="C12" s="8" t="s">
        <v>47</v>
      </c>
      <c r="D12" s="8" t="s">
        <v>48</v>
      </c>
      <c r="E12" s="8" t="s">
        <v>49</v>
      </c>
      <c r="F12" s="8" t="s">
        <v>50</v>
      </c>
    </row>
    <row r="13" customFormat="false" ht="19.5" hidden="false" customHeight="true" outlineLevel="0" collapsed="false">
      <c r="A13" s="12" t="s">
        <v>51</v>
      </c>
      <c r="B13" s="13" t="s">
        <v>52</v>
      </c>
      <c r="C13" s="14" t="s">
        <v>53</v>
      </c>
      <c r="D13" s="14" t="s">
        <v>53</v>
      </c>
      <c r="E13" s="14" t="s">
        <v>54</v>
      </c>
      <c r="F13" s="14" t="s">
        <v>55</v>
      </c>
    </row>
    <row r="14" customFormat="false" ht="24" hidden="false" customHeight="true" outlineLevel="0" collapsed="false">
      <c r="A14" s="15" t="s">
        <v>56</v>
      </c>
      <c r="B14" s="15"/>
      <c r="C14" s="15"/>
      <c r="D14" s="15"/>
      <c r="E14" s="16" t="n">
        <f aca="false">SUM(E6:E13)</f>
        <v>0</v>
      </c>
      <c r="F14" s="17"/>
    </row>
    <row r="16" customFormat="false" ht="7.5" hidden="false" customHeight="true" outlineLevel="0" collapsed="false"/>
    <row r="17" customFormat="false" ht="25.5" hidden="false" customHeight="true" outlineLevel="0" collapsed="false">
      <c r="A17" s="4" t="s">
        <v>57</v>
      </c>
      <c r="B17" s="4"/>
      <c r="C17" s="4"/>
      <c r="D17" s="4"/>
      <c r="E17" s="4"/>
      <c r="F17" s="4"/>
    </row>
    <row r="18" customFormat="false" ht="21.75" hidden="false" customHeight="true" outlineLevel="0" collapsed="false">
      <c r="A18" s="5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</row>
    <row r="19" customFormat="false" ht="19.5" hidden="false" customHeight="true" outlineLevel="0" collapsed="false">
      <c r="A19" s="9" t="s">
        <v>9</v>
      </c>
      <c r="B19" s="10" t="s">
        <v>10</v>
      </c>
      <c r="C19" s="11" t="s">
        <v>47</v>
      </c>
      <c r="D19" s="11" t="s">
        <v>12</v>
      </c>
      <c r="E19" s="11" t="s">
        <v>58</v>
      </c>
      <c r="F19" s="11" t="s">
        <v>59</v>
      </c>
    </row>
    <row r="20" customFormat="false" ht="19.5" hidden="false" customHeight="true" outlineLevel="0" collapsed="false">
      <c r="A20" s="6" t="s">
        <v>15</v>
      </c>
      <c r="B20" s="7" t="s">
        <v>16</v>
      </c>
      <c r="C20" s="8" t="s">
        <v>60</v>
      </c>
      <c r="D20" s="8" t="s">
        <v>18</v>
      </c>
      <c r="E20" s="8" t="s">
        <v>61</v>
      </c>
      <c r="F20" s="8" t="s">
        <v>62</v>
      </c>
    </row>
    <row r="21" customFormat="false" ht="19.5" hidden="false" customHeight="true" outlineLevel="0" collapsed="false">
      <c r="A21" s="9" t="s">
        <v>21</v>
      </c>
      <c r="B21" s="10" t="s">
        <v>22</v>
      </c>
      <c r="C21" s="11" t="s">
        <v>63</v>
      </c>
      <c r="D21" s="11" t="s">
        <v>24</v>
      </c>
      <c r="E21" s="11" t="s">
        <v>64</v>
      </c>
      <c r="F21" s="11" t="s">
        <v>65</v>
      </c>
    </row>
    <row r="22" customFormat="false" ht="19.5" hidden="false" customHeight="true" outlineLevel="0" collapsed="false">
      <c r="A22" s="6" t="s">
        <v>27</v>
      </c>
      <c r="B22" s="7" t="s">
        <v>28</v>
      </c>
      <c r="C22" s="8" t="s">
        <v>41</v>
      </c>
      <c r="D22" s="8" t="s">
        <v>30</v>
      </c>
      <c r="E22" s="8" t="s">
        <v>66</v>
      </c>
      <c r="F22" s="8" t="s">
        <v>67</v>
      </c>
    </row>
    <row r="23" customFormat="false" ht="19.5" hidden="false" customHeight="true" outlineLevel="0" collapsed="false">
      <c r="A23" s="9" t="s">
        <v>33</v>
      </c>
      <c r="B23" s="10" t="s">
        <v>34</v>
      </c>
      <c r="C23" s="11" t="s">
        <v>68</v>
      </c>
      <c r="D23" s="11" t="s">
        <v>36</v>
      </c>
      <c r="E23" s="11" t="s">
        <v>18</v>
      </c>
      <c r="F23" s="11" t="s">
        <v>69</v>
      </c>
    </row>
    <row r="24" customFormat="false" ht="19.5" hidden="false" customHeight="true" outlineLevel="0" collapsed="false">
      <c r="A24" s="6" t="s">
        <v>39</v>
      </c>
      <c r="B24" s="7" t="s">
        <v>40</v>
      </c>
      <c r="C24" s="8" t="s">
        <v>70</v>
      </c>
      <c r="D24" s="8" t="s">
        <v>42</v>
      </c>
      <c r="E24" s="8" t="s">
        <v>42</v>
      </c>
      <c r="F24" s="8" t="s">
        <v>71</v>
      </c>
    </row>
    <row r="25" customFormat="false" ht="19.5" hidden="false" customHeight="true" outlineLevel="0" collapsed="false">
      <c r="A25" s="9" t="s">
        <v>45</v>
      </c>
      <c r="B25" s="10" t="s">
        <v>46</v>
      </c>
      <c r="C25" s="11" t="s">
        <v>72</v>
      </c>
      <c r="D25" s="11" t="s">
        <v>48</v>
      </c>
      <c r="E25" s="11" t="s">
        <v>73</v>
      </c>
      <c r="F25" s="11" t="s">
        <v>53</v>
      </c>
    </row>
    <row r="26" customFormat="false" ht="19.5" hidden="false" customHeight="true" outlineLevel="0" collapsed="false">
      <c r="A26" s="6" t="s">
        <v>51</v>
      </c>
      <c r="B26" s="7" t="s">
        <v>52</v>
      </c>
      <c r="C26" s="8" t="s">
        <v>53</v>
      </c>
      <c r="D26" s="8" t="s">
        <v>53</v>
      </c>
      <c r="E26" s="8" t="s">
        <v>74</v>
      </c>
      <c r="F26" s="8" t="s">
        <v>75</v>
      </c>
    </row>
    <row r="27" customFormat="false" ht="24" hidden="false" customHeight="true" outlineLevel="0" collapsed="false">
      <c r="A27" s="15" t="s">
        <v>76</v>
      </c>
      <c r="B27" s="15"/>
      <c r="C27" s="15"/>
      <c r="D27" s="15"/>
      <c r="E27" s="16" t="n">
        <f aca="false">SUM(E19:E26)</f>
        <v>0</v>
      </c>
      <c r="F27" s="17"/>
    </row>
    <row r="29" customFormat="false" ht="7.5" hidden="false" customHeight="true" outlineLevel="0" collapsed="false"/>
    <row r="30" customFormat="false" ht="25.5" hidden="false" customHeight="true" outlineLevel="0" collapsed="false">
      <c r="A30" s="4" t="s">
        <v>77</v>
      </c>
      <c r="B30" s="4"/>
      <c r="C30" s="4"/>
      <c r="D30" s="4"/>
      <c r="E30" s="4"/>
      <c r="F30" s="4"/>
    </row>
    <row r="31" customFormat="false" ht="21.75" hidden="false" customHeight="true" outlineLevel="0" collapsed="false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</row>
    <row r="32" customFormat="false" ht="19.5" hidden="false" customHeight="true" outlineLevel="0" collapsed="false">
      <c r="A32" s="6" t="s">
        <v>9</v>
      </c>
      <c r="B32" s="7" t="s">
        <v>10</v>
      </c>
      <c r="C32" s="8" t="s">
        <v>68</v>
      </c>
      <c r="D32" s="8" t="s">
        <v>12</v>
      </c>
      <c r="E32" s="8" t="s">
        <v>78</v>
      </c>
      <c r="F32" s="8" t="s">
        <v>79</v>
      </c>
    </row>
    <row r="33" customFormat="false" ht="19.5" hidden="false" customHeight="true" outlineLevel="0" collapsed="false">
      <c r="A33" s="9" t="s">
        <v>15</v>
      </c>
      <c r="B33" s="10" t="s">
        <v>16</v>
      </c>
      <c r="C33" s="11" t="s">
        <v>80</v>
      </c>
      <c r="D33" s="11" t="s">
        <v>18</v>
      </c>
      <c r="E33" s="11" t="s">
        <v>81</v>
      </c>
      <c r="F33" s="11" t="s">
        <v>67</v>
      </c>
    </row>
    <row r="34" customFormat="false" ht="19.5" hidden="false" customHeight="true" outlineLevel="0" collapsed="false">
      <c r="A34" s="6" t="s">
        <v>21</v>
      </c>
      <c r="B34" s="7" t="s">
        <v>22</v>
      </c>
      <c r="C34" s="8" t="s">
        <v>11</v>
      </c>
      <c r="D34" s="8" t="s">
        <v>24</v>
      </c>
      <c r="E34" s="8" t="s">
        <v>82</v>
      </c>
      <c r="F34" s="8" t="s">
        <v>83</v>
      </c>
    </row>
    <row r="35" customFormat="false" ht="19.5" hidden="false" customHeight="true" outlineLevel="0" collapsed="false">
      <c r="A35" s="9" t="s">
        <v>27</v>
      </c>
      <c r="B35" s="10" t="s">
        <v>28</v>
      </c>
      <c r="C35" s="11" t="s">
        <v>84</v>
      </c>
      <c r="D35" s="11" t="s">
        <v>30</v>
      </c>
      <c r="E35" s="11" t="s">
        <v>85</v>
      </c>
      <c r="F35" s="11" t="s">
        <v>59</v>
      </c>
    </row>
    <row r="36" customFormat="false" ht="19.5" hidden="false" customHeight="true" outlineLevel="0" collapsed="false">
      <c r="A36" s="6" t="s">
        <v>33</v>
      </c>
      <c r="B36" s="7" t="s">
        <v>34</v>
      </c>
      <c r="C36" s="8" t="s">
        <v>86</v>
      </c>
      <c r="D36" s="8" t="s">
        <v>36</v>
      </c>
      <c r="E36" s="8" t="s">
        <v>87</v>
      </c>
      <c r="F36" s="8" t="s">
        <v>88</v>
      </c>
    </row>
    <row r="37" customFormat="false" ht="19.5" hidden="false" customHeight="true" outlineLevel="0" collapsed="false">
      <c r="A37" s="9" t="s">
        <v>39</v>
      </c>
      <c r="B37" s="10" t="s">
        <v>40</v>
      </c>
      <c r="C37" s="11" t="s">
        <v>23</v>
      </c>
      <c r="D37" s="11" t="s">
        <v>42</v>
      </c>
      <c r="E37" s="11" t="s">
        <v>89</v>
      </c>
      <c r="F37" s="11" t="s">
        <v>90</v>
      </c>
    </row>
    <row r="38" customFormat="false" ht="19.5" hidden="false" customHeight="true" outlineLevel="0" collapsed="false">
      <c r="A38" s="6" t="s">
        <v>45</v>
      </c>
      <c r="B38" s="7" t="s">
        <v>46</v>
      </c>
      <c r="C38" s="8" t="s">
        <v>60</v>
      </c>
      <c r="D38" s="8" t="s">
        <v>48</v>
      </c>
      <c r="E38" s="8" t="s">
        <v>91</v>
      </c>
      <c r="F38" s="8" t="s">
        <v>92</v>
      </c>
    </row>
    <row r="39" customFormat="false" ht="19.5" hidden="false" customHeight="true" outlineLevel="0" collapsed="false">
      <c r="A39" s="12" t="s">
        <v>51</v>
      </c>
      <c r="B39" s="13" t="s">
        <v>52</v>
      </c>
      <c r="C39" s="14" t="s">
        <v>53</v>
      </c>
      <c r="D39" s="14" t="s">
        <v>53</v>
      </c>
      <c r="E39" s="14" t="s">
        <v>93</v>
      </c>
      <c r="F39" s="14" t="s">
        <v>94</v>
      </c>
    </row>
    <row r="40" customFormat="false" ht="24" hidden="false" customHeight="true" outlineLevel="0" collapsed="false">
      <c r="A40" s="15" t="s">
        <v>95</v>
      </c>
      <c r="B40" s="15"/>
      <c r="C40" s="15"/>
      <c r="D40" s="15"/>
      <c r="E40" s="16" t="n">
        <f aca="false">SUM(E32:E39)</f>
        <v>0</v>
      </c>
      <c r="F40" s="17"/>
    </row>
    <row r="44" customFormat="false" ht="30" hidden="false" customHeight="true" outlineLevel="0" collapsed="false">
      <c r="A44" s="18" t="s">
        <v>96</v>
      </c>
      <c r="B44" s="18"/>
      <c r="C44" s="18"/>
      <c r="D44" s="18"/>
      <c r="E44" s="18"/>
      <c r="F44" s="18"/>
    </row>
    <row r="45" customFormat="false" ht="21.75" hidden="false" customHeight="true" outlineLevel="0" collapsed="false">
      <c r="A45" s="19" t="s">
        <v>97</v>
      </c>
      <c r="B45" s="20" t="n">
        <f aca="false">E14+E27+E40</f>
        <v>0</v>
      </c>
      <c r="C45" s="20"/>
      <c r="D45" s="20"/>
      <c r="E45" s="21" t="s">
        <v>98</v>
      </c>
      <c r="F45" s="21"/>
    </row>
    <row r="46" customFormat="false" ht="21.75" hidden="false" customHeight="true" outlineLevel="0" collapsed="false">
      <c r="A46" s="22" t="s">
        <v>99</v>
      </c>
      <c r="B46" s="23" t="n">
        <v>2150.3</v>
      </c>
      <c r="C46" s="23"/>
      <c r="D46" s="23"/>
      <c r="E46" s="24" t="s">
        <v>98</v>
      </c>
      <c r="F46" s="24"/>
    </row>
    <row r="47" customFormat="false" ht="21.75" hidden="false" customHeight="true" outlineLevel="0" collapsed="false">
      <c r="A47" s="25" t="s">
        <v>100</v>
      </c>
      <c r="B47" s="26" t="s">
        <v>101</v>
      </c>
      <c r="E47" s="27" t="s">
        <v>102</v>
      </c>
      <c r="F47" s="27"/>
    </row>
    <row r="48" customFormat="false" ht="21.75" hidden="false" customHeight="true" outlineLevel="0" collapsed="false">
      <c r="A48" s="22" t="s">
        <v>103</v>
      </c>
      <c r="B48" s="23" t="n">
        <f aca="false">(E14+E27+E40)/3</f>
        <v>0</v>
      </c>
      <c r="C48" s="23"/>
      <c r="D48" s="23"/>
      <c r="E48" s="24" t="s">
        <v>98</v>
      </c>
      <c r="F48" s="24"/>
    </row>
    <row r="49" customFormat="false" ht="21.75" hidden="false" customHeight="true" outlineLevel="0" collapsed="false">
      <c r="A49" s="25" t="s">
        <v>104</v>
      </c>
      <c r="B49" s="28" t="s">
        <v>105</v>
      </c>
      <c r="C49" s="28"/>
      <c r="D49" s="28"/>
      <c r="E49" s="21"/>
      <c r="F49" s="21"/>
    </row>
    <row r="50" customFormat="false" ht="21.75" hidden="false" customHeight="true" outlineLevel="0" collapsed="false">
      <c r="A50" s="29" t="s">
        <v>106</v>
      </c>
      <c r="B50" s="30" t="s">
        <v>107</v>
      </c>
      <c r="C50" s="30"/>
      <c r="D50" s="30"/>
      <c r="E50" s="24"/>
      <c r="F50" s="24"/>
    </row>
    <row r="51" customFormat="false" ht="21.75" hidden="false" customHeight="true" outlineLevel="0" collapsed="false">
      <c r="A51" s="25" t="s">
        <v>108</v>
      </c>
      <c r="B51" s="31" t="s">
        <v>109</v>
      </c>
      <c r="C51" s="31"/>
      <c r="D51" s="31"/>
      <c r="E51" s="21" t="s">
        <v>110</v>
      </c>
      <c r="F51" s="21"/>
    </row>
    <row r="52" customFormat="false" ht="21.75" hidden="false" customHeight="true" outlineLevel="0" collapsed="false">
      <c r="A52" s="22" t="s">
        <v>111</v>
      </c>
      <c r="B52" s="32" t="s">
        <v>112</v>
      </c>
      <c r="C52" s="32"/>
      <c r="D52" s="32"/>
      <c r="E52" s="24" t="s">
        <v>113</v>
      </c>
      <c r="F52" s="24"/>
    </row>
  </sheetData>
  <mergeCells count="24">
    <mergeCell ref="A1:F1"/>
    <mergeCell ref="A2:F2"/>
    <mergeCell ref="A4:F4"/>
    <mergeCell ref="A14:D14"/>
    <mergeCell ref="A17:F17"/>
    <mergeCell ref="A27:D27"/>
    <mergeCell ref="A30:F30"/>
    <mergeCell ref="A40:D40"/>
    <mergeCell ref="A44:F44"/>
    <mergeCell ref="B45:D45"/>
    <mergeCell ref="E45:F45"/>
    <mergeCell ref="B46:D46"/>
    <mergeCell ref="E46:F46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14"/>
  </cols>
  <sheetData>
    <row r="1" customFormat="false" ht="36" hidden="false" customHeight="true" outlineLevel="0" collapsed="false">
      <c r="A1" s="33" t="s">
        <v>114</v>
      </c>
      <c r="B1" s="33"/>
      <c r="C1" s="33"/>
      <c r="D1" s="33"/>
      <c r="E1" s="33"/>
      <c r="F1" s="33"/>
      <c r="G1" s="33"/>
    </row>
    <row r="3" customFormat="false" ht="24" hidden="false" customHeight="true" outlineLevel="0" collapsed="false">
      <c r="A3" s="34" t="s">
        <v>3</v>
      </c>
      <c r="B3" s="34" t="s">
        <v>115</v>
      </c>
      <c r="C3" s="34" t="s">
        <v>116</v>
      </c>
      <c r="D3" s="34" t="s">
        <v>117</v>
      </c>
      <c r="E3" s="35" t="s">
        <v>118</v>
      </c>
      <c r="F3" s="35" t="s">
        <v>119</v>
      </c>
    </row>
    <row r="4" customFormat="false" ht="19.5" hidden="false" customHeight="true" outlineLevel="0" collapsed="false">
      <c r="A4" s="6" t="s">
        <v>9</v>
      </c>
      <c r="B4" s="36" t="n">
        <v>228</v>
      </c>
      <c r="C4" s="36" t="n">
        <v>85.5</v>
      </c>
      <c r="D4" s="36" t="n">
        <v>285</v>
      </c>
      <c r="E4" s="36" t="n">
        <v>598.5</v>
      </c>
      <c r="F4" s="8" t="s">
        <v>120</v>
      </c>
    </row>
    <row r="5" customFormat="false" ht="19.5" hidden="false" customHeight="true" outlineLevel="0" collapsed="false">
      <c r="A5" s="9" t="s">
        <v>15</v>
      </c>
      <c r="B5" s="37" t="n">
        <v>180</v>
      </c>
      <c r="C5" s="37" t="n">
        <v>75</v>
      </c>
      <c r="D5" s="37" t="n">
        <v>225</v>
      </c>
      <c r="E5" s="37" t="n">
        <v>480</v>
      </c>
      <c r="F5" s="11" t="s">
        <v>121</v>
      </c>
    </row>
    <row r="6" customFormat="false" ht="19.5" hidden="false" customHeight="true" outlineLevel="0" collapsed="false">
      <c r="A6" s="6" t="s">
        <v>21</v>
      </c>
      <c r="B6" s="36" t="n">
        <v>118.8</v>
      </c>
      <c r="C6" s="36" t="n">
        <v>39.6</v>
      </c>
      <c r="D6" s="36" t="n">
        <v>158.4</v>
      </c>
      <c r="E6" s="36" t="n">
        <v>316.8</v>
      </c>
      <c r="F6" s="8" t="s">
        <v>122</v>
      </c>
    </row>
    <row r="7" customFormat="false" ht="19.5" hidden="false" customHeight="true" outlineLevel="0" collapsed="false">
      <c r="A7" s="9" t="s">
        <v>27</v>
      </c>
      <c r="B7" s="37" t="n">
        <v>112.5</v>
      </c>
      <c r="C7" s="37" t="n">
        <v>50</v>
      </c>
      <c r="D7" s="37" t="n">
        <v>137.5</v>
      </c>
      <c r="E7" s="37" t="n">
        <v>300</v>
      </c>
      <c r="F7" s="11" t="s">
        <v>123</v>
      </c>
    </row>
    <row r="8" customFormat="false" ht="19.5" hidden="false" customHeight="true" outlineLevel="0" collapsed="false">
      <c r="A8" s="6" t="s">
        <v>33</v>
      </c>
      <c r="B8" s="36" t="n">
        <v>37.5</v>
      </c>
      <c r="C8" s="36" t="n">
        <v>15</v>
      </c>
      <c r="D8" s="36" t="n">
        <v>45</v>
      </c>
      <c r="E8" s="36" t="n">
        <v>97.5</v>
      </c>
      <c r="F8" s="8" t="s">
        <v>124</v>
      </c>
    </row>
    <row r="9" customFormat="false" ht="19.5" hidden="false" customHeight="true" outlineLevel="0" collapsed="false">
      <c r="A9" s="9" t="s">
        <v>39</v>
      </c>
      <c r="B9" s="37" t="n">
        <v>88</v>
      </c>
      <c r="C9" s="37" t="n">
        <v>22</v>
      </c>
      <c r="D9" s="37" t="n">
        <v>132</v>
      </c>
      <c r="E9" s="37" t="n">
        <v>242</v>
      </c>
      <c r="F9" s="11" t="s">
        <v>125</v>
      </c>
    </row>
    <row r="10" customFormat="false" ht="19.5" hidden="false" customHeight="true" outlineLevel="0" collapsed="false">
      <c r="A10" s="6" t="s">
        <v>45</v>
      </c>
      <c r="B10" s="36" t="n">
        <v>105</v>
      </c>
      <c r="C10" s="36" t="n">
        <v>0</v>
      </c>
      <c r="D10" s="36" t="n">
        <v>175</v>
      </c>
      <c r="E10" s="36" t="n">
        <v>280</v>
      </c>
      <c r="F10" s="8" t="s">
        <v>126</v>
      </c>
    </row>
    <row r="11" customFormat="false" ht="19.5" hidden="false" customHeight="true" outlineLevel="0" collapsed="false">
      <c r="A11" s="9" t="s">
        <v>51</v>
      </c>
      <c r="B11" s="37" t="n">
        <v>65</v>
      </c>
      <c r="C11" s="37" t="n">
        <v>28</v>
      </c>
      <c r="D11" s="37" t="n">
        <v>82</v>
      </c>
      <c r="E11" s="37" t="n">
        <v>175</v>
      </c>
      <c r="F11" s="11" t="s">
        <v>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2026-04-21T06:24:50Z</dcterms:created>
  <dc:creator>openpyxl</dc:creator>
  <dc:description/>
  <dc:language>en-US</dc:language>
  <cp:lastModifiedBy/>
  <dcterms:modified xsi:type="dcterms:W3CDTF">2026-04-21T14:28:33Z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