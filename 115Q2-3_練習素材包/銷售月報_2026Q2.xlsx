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年Q2月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<sst xmlns="http://schemas.openxmlformats.org/spreadsheetml/2006/main" count="126" uniqueCount="72">
  <si>
    <r>
      <rPr>
        <b val="true"/>
        <sz val="18"/>
        <color rgb="FFFFFFFF"/>
        <rFont val="Arial"/>
        <family val="0"/>
        <charset val="1"/>
      </rPr>
      <t xml:space="preserve">2026</t>
    </r>
    <r>
      <rPr>
        <b val="true"/>
        <sz val="18"/>
        <color rgb="FFFFFFFF"/>
        <rFont val="DejaVu Sans"/>
        <family val="2"/>
      </rPr>
      <t xml:space="preserve">年度 設備銷售月報表 ── 第二季（</t>
    </r>
    <r>
      <rPr>
        <b val="true"/>
        <sz val="18"/>
        <color rgb="FFFFFFFF"/>
        <rFont val="Arial"/>
        <family val="0"/>
        <charset val="1"/>
      </rPr>
      <t xml:space="preserve">Q2</t>
    </r>
    <r>
      <rPr>
        <b val="true"/>
        <sz val="18"/>
        <color rgb="FFFFFFFF"/>
        <rFont val="DejaVu Sans"/>
        <family val="2"/>
      </rPr>
      <t xml:space="preserve">）</t>
    </r>
  </si>
  <si>
    <r>
      <rPr>
        <sz val="10"/>
        <color rgb="FF1F3864"/>
        <rFont val="DejaVu Sans"/>
        <family val="2"/>
      </rPr>
      <t xml:space="preserve">報表期間：</t>
    </r>
    <r>
      <rPr>
        <sz val="10"/>
        <color rgb="FF1F3864"/>
        <rFont val="Arial"/>
        <family val="0"/>
        <charset val="1"/>
      </rPr>
      <t xml:space="preserve">2026 </t>
    </r>
    <r>
      <rPr>
        <sz val="10"/>
        <color rgb="FF1F3864"/>
        <rFont val="DejaVu Sans"/>
        <family val="2"/>
      </rPr>
      <t xml:space="preserve">年 </t>
    </r>
    <r>
      <rPr>
        <sz val="10"/>
        <color rgb="FF1F3864"/>
        <rFont val="Arial"/>
        <family val="0"/>
        <charset val="1"/>
      </rPr>
      <t xml:space="preserve">4 </t>
    </r>
    <r>
      <rPr>
        <sz val="10"/>
        <color rgb="FF1F3864"/>
        <rFont val="DejaVu Sans"/>
        <family val="2"/>
      </rPr>
      <t xml:space="preserve">月 ～ </t>
    </r>
    <r>
      <rPr>
        <sz val="10"/>
        <color rgb="FF1F3864"/>
        <rFont val="Arial"/>
        <family val="0"/>
        <charset val="1"/>
      </rPr>
      <t xml:space="preserve">6 </t>
    </r>
    <r>
      <rPr>
        <sz val="10"/>
        <color rgb="FF1F3864"/>
        <rFont val="DejaVu Sans"/>
        <family val="2"/>
      </rPr>
      <t xml:space="preserve">月　　製表日期：</t>
    </r>
    <r>
      <rPr>
        <sz val="10"/>
        <color rgb="FF1F3864"/>
        <rFont val="Arial"/>
        <family val="0"/>
        <charset val="1"/>
      </rPr>
      <t xml:space="preserve">2026 </t>
    </r>
    <r>
      <rPr>
        <sz val="10"/>
        <color rgb="FF1F3864"/>
        <rFont val="DejaVu Sans"/>
        <family val="2"/>
      </rPr>
      <t xml:space="preserve">年 </t>
    </r>
    <r>
      <rPr>
        <sz val="10"/>
        <color rgb="FF1F3864"/>
        <rFont val="Arial"/>
        <family val="0"/>
        <charset val="1"/>
      </rPr>
      <t xml:space="preserve">7 </t>
    </r>
    <r>
      <rPr>
        <sz val="10"/>
        <color rgb="FF1F3864"/>
        <rFont val="DejaVu Sans"/>
        <family val="2"/>
      </rPr>
      <t xml:space="preserve">月 </t>
    </r>
    <r>
      <rPr>
        <sz val="10"/>
        <color rgb="FF1F3864"/>
        <rFont val="Arial"/>
        <family val="0"/>
        <charset val="1"/>
      </rPr>
      <t xml:space="preserve">3 </t>
    </r>
    <r>
      <rPr>
        <sz val="10"/>
        <color rgb="FF1F3864"/>
        <rFont val="DejaVu Sans"/>
        <family val="2"/>
      </rPr>
      <t xml:space="preserve">日　　製表單位：業務部</t>
    </r>
  </si>
  <si>
    <t xml:space="preserve">【四月份銷售明細】</t>
  </si>
  <si>
    <t xml:space="preserve">產品型號</t>
  </si>
  <si>
    <t xml:space="preserve">品名</t>
  </si>
  <si>
    <t xml:space="preserve">銷售數量</t>
  </si>
  <si>
    <r>
      <rPr>
        <b val="true"/>
        <sz val="10"/>
        <color rgb="FFFFFFFF"/>
        <rFont val="DejaVu Sans"/>
        <family val="2"/>
      </rPr>
      <t xml:space="preserve">單價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</si>
  <si>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</si>
  <si>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毛利率</t>
  </si>
  <si>
    <t xml:space="preserve">SG-200</t>
  </si>
  <si>
    <t xml:space="preserve">自動磨漿機</t>
  </si>
  <si>
    <t xml:space="preserve">43%</t>
  </si>
  <si>
    <t xml:space="preserve">SG-100</t>
  </si>
  <si>
    <t xml:space="preserve">小型磨漿機</t>
  </si>
  <si>
    <t xml:space="preserve">39%</t>
  </si>
  <si>
    <t xml:space="preserve">BT-500</t>
  </si>
  <si>
    <t xml:space="preserve">煮漿機</t>
  </si>
  <si>
    <t xml:space="preserve">46%</t>
  </si>
  <si>
    <t xml:space="preserve">BT-300</t>
  </si>
  <si>
    <t xml:space="preserve">小型煮漿機</t>
  </si>
  <si>
    <t xml:space="preserve">41%</t>
  </si>
  <si>
    <t xml:space="preserve">TM-A30</t>
  </si>
  <si>
    <t xml:space="preserve">豆腐成型模具</t>
  </si>
  <si>
    <t xml:space="preserve">55%</t>
  </si>
  <si>
    <t xml:space="preserve">FS-100</t>
  </si>
  <si>
    <t xml:space="preserve">濾漿機</t>
  </si>
  <si>
    <t xml:space="preserve">36%</t>
  </si>
  <si>
    <t xml:space="preserve">HP-200</t>
  </si>
  <si>
    <t xml:space="preserve">壓榨機</t>
  </si>
  <si>
    <t xml:space="preserve">48%</t>
  </si>
  <si>
    <t xml:space="preserve">SP-MISC</t>
  </si>
  <si>
    <t xml:space="preserve">零件與耗材</t>
  </si>
  <si>
    <t xml:space="preserve">─</t>
  </si>
  <si>
    <t xml:space="preserve">74%</t>
  </si>
  <si>
    <t xml:space="preserve">四月合計</t>
  </si>
  <si>
    <r>
      <rPr>
        <b val="true"/>
        <sz val="12"/>
        <color rgb="FFFFFFFF"/>
        <rFont val="DejaVu Sans"/>
        <family val="2"/>
      </rPr>
      <t xml:space="preserve">【五月份銷售明細】 ── 五月份 </t>
    </r>
    <r>
      <rPr>
        <b val="true"/>
        <sz val="12"/>
        <color rgb="FFFFFFFF"/>
        <rFont val="Arial"/>
        <family val="0"/>
        <charset val="1"/>
      </rPr>
      <t xml:space="preserve">HP-200 </t>
    </r>
    <r>
      <rPr>
        <b val="true"/>
        <sz val="12"/>
        <color rgb="FFFFFFFF"/>
        <rFont val="DejaVu Sans"/>
        <family val="2"/>
      </rPr>
      <t xml:space="preserve">壓榨機銷售量暴增（東南亞大單）</t>
    </r>
  </si>
  <si>
    <t xml:space="preserve">42%</t>
  </si>
  <si>
    <t xml:space="preserve">40%</t>
  </si>
  <si>
    <t xml:space="preserve">51%</t>
  </si>
  <si>
    <t xml:space="preserve">37%</t>
  </si>
  <si>
    <t xml:space="preserve">50%</t>
  </si>
  <si>
    <t xml:space="preserve">75%</t>
  </si>
  <si>
    <t xml:space="preserve">五月合計</t>
  </si>
  <si>
    <r>
      <rPr>
        <b val="true"/>
        <sz val="12"/>
        <color rgb="FFFFFFFF"/>
        <rFont val="DejaVu Sans"/>
        <family val="2"/>
      </rPr>
      <t xml:space="preserve">【六月份銷售明細】 ── 六月份 </t>
    </r>
    <r>
      <rPr>
        <b val="true"/>
        <sz val="12"/>
        <color rgb="FFFFFFFF"/>
        <rFont val="Arial"/>
        <family val="0"/>
        <charset val="1"/>
      </rPr>
      <t xml:space="preserve">FS-100</t>
    </r>
    <r>
      <rPr>
        <b val="true"/>
        <sz val="12"/>
        <color rgb="FFFFFFFF"/>
        <rFont val="DejaVu Sans"/>
        <family val="2"/>
      </rPr>
      <t xml:space="preserve">、</t>
    </r>
    <r>
      <rPr>
        <b val="true"/>
        <sz val="12"/>
        <color rgb="FFFFFFFF"/>
        <rFont val="Arial"/>
        <family val="0"/>
        <charset val="1"/>
      </rPr>
      <t xml:space="preserve">TM-A30 </t>
    </r>
    <r>
      <rPr>
        <b val="true"/>
        <sz val="12"/>
        <color rgb="FFFFFFFF"/>
        <rFont val="DejaVu Sans"/>
        <family val="2"/>
      </rPr>
      <t xml:space="preserve">銷售明顯下滑；</t>
    </r>
    <r>
      <rPr>
        <b val="true"/>
        <sz val="12"/>
        <color rgb="FFFFFFFF"/>
        <rFont val="Arial"/>
        <family val="0"/>
        <charset val="1"/>
      </rPr>
      <t xml:space="preserve">SP-MISC </t>
    </r>
    <r>
      <rPr>
        <b val="true"/>
        <sz val="12"/>
        <color rgb="FFFFFFFF"/>
        <rFont val="DejaVu Sans"/>
        <family val="2"/>
      </rPr>
      <t xml:space="preserve">耗材毛利率異常偏高（</t>
    </r>
    <r>
      <rPr>
        <b val="true"/>
        <sz val="12"/>
        <color rgb="FFFFFFFF"/>
        <rFont val="Arial"/>
        <family val="0"/>
        <charset val="1"/>
      </rPr>
      <t xml:space="preserve">78%</t>
    </r>
    <r>
      <rPr>
        <b val="true"/>
        <sz val="12"/>
        <color rgb="FFFFFFFF"/>
        <rFont val="DejaVu Sans"/>
        <family val="2"/>
      </rPr>
      <t xml:space="preserve">），需確認</t>
    </r>
  </si>
  <si>
    <t xml:space="preserve">38%</t>
  </si>
  <si>
    <t xml:space="preserve">45%</t>
  </si>
  <si>
    <t xml:space="preserve">49%</t>
  </si>
  <si>
    <t xml:space="preserve">31%</t>
  </si>
  <si>
    <t xml:space="preserve">78%</t>
  </si>
  <si>
    <t xml:space="preserve">六月合計</t>
  </si>
  <si>
    <r>
      <rPr>
        <b val="true"/>
        <sz val="13"/>
        <color rgb="FFFFFFFF"/>
        <rFont val="DejaVu Sans"/>
        <family val="2"/>
      </rPr>
      <t xml:space="preserve">【</t>
    </r>
    <r>
      <rPr>
        <b val="true"/>
        <sz val="13"/>
        <color rgb="FFFFFFFF"/>
        <rFont val="Arial"/>
        <family val="0"/>
        <charset val="1"/>
      </rPr>
      <t xml:space="preserve">Q2 </t>
    </r>
    <r>
      <rPr>
        <b val="true"/>
        <sz val="13"/>
        <color rgb="FFFFFFFF"/>
        <rFont val="DejaVu Sans"/>
        <family val="2"/>
      </rPr>
      <t xml:space="preserve">季度摘要】</t>
    </r>
  </si>
  <si>
    <r>
      <rPr>
        <sz val="10"/>
        <color rgb="FF1F3864"/>
        <rFont val="Arial"/>
        <family val="0"/>
        <charset val="1"/>
      </rPr>
      <t xml:space="preserve">Q2 </t>
    </r>
    <r>
      <rPr>
        <sz val="10"/>
        <color rgb="FF1F3864"/>
        <rFont val="DejaVu Sans"/>
        <family val="2"/>
      </rPr>
      <t xml:space="preserve">總營收</t>
    </r>
  </si>
  <si>
    <r>
      <rPr>
        <sz val="10"/>
        <color rgb="FF1F3864"/>
        <rFont val="DejaVu Sans"/>
        <family val="2"/>
      </rPr>
      <t xml:space="preserve">去年同期（</t>
    </r>
    <r>
      <rPr>
        <sz val="10"/>
        <color rgb="FF1F3864"/>
        <rFont val="Arial"/>
        <family val="0"/>
        <charset val="1"/>
      </rPr>
      <t xml:space="preserve">Q2 2025</t>
    </r>
    <r>
      <rPr>
        <sz val="10"/>
        <color rgb="FF1F3864"/>
        <rFont val="DejaVu Sans"/>
        <family val="2"/>
      </rPr>
      <t xml:space="preserve">）</t>
    </r>
  </si>
  <si>
    <t xml:space="preserve">季度年增率</t>
  </si>
  <si>
    <t xml:space="preserve">（暫填）</t>
  </si>
  <si>
    <t xml:space="preserve">需手動確認</t>
  </si>
  <si>
    <r>
      <rPr>
        <sz val="10"/>
        <color rgb="FF1F3864"/>
        <rFont val="DejaVu Sans"/>
        <family val="2"/>
      </rPr>
      <t xml:space="preserve">月均營收（</t>
    </r>
    <r>
      <rPr>
        <sz val="10"/>
        <color rgb="FF1F3864"/>
        <rFont val="Arial"/>
        <family val="0"/>
        <charset val="1"/>
      </rPr>
      <t xml:space="preserve">Q2</t>
    </r>
    <r>
      <rPr>
        <sz val="10"/>
        <color rgb="FF1F3864"/>
        <rFont val="DejaVu Sans"/>
        <family val="2"/>
      </rPr>
      <t xml:space="preserve">）</t>
    </r>
  </si>
  <si>
    <t xml:space="preserve">最佳單月</t>
  </si>
  <si>
    <r>
      <rPr>
        <sz val="10"/>
        <rFont val="DejaVu Sans"/>
        <family val="2"/>
      </rPr>
      <t xml:space="preserve">五月（</t>
    </r>
    <r>
      <rPr>
        <sz val="10"/>
        <rFont val="Arial"/>
        <family val="0"/>
        <charset val="1"/>
      </rPr>
      <t xml:space="preserve">1,387.5 </t>
    </r>
    <r>
      <rPr>
        <sz val="10"/>
        <rFont val="DejaVu Sans"/>
        <family val="2"/>
      </rPr>
      <t xml:space="preserve">萬）── </t>
    </r>
    <r>
      <rPr>
        <sz val="10"/>
        <rFont val="Arial"/>
        <family val="0"/>
        <charset val="1"/>
      </rPr>
      <t xml:space="preserve">HP-200 </t>
    </r>
    <r>
      <rPr>
        <sz val="10"/>
        <rFont val="DejaVu Sans"/>
        <family val="2"/>
      </rPr>
      <t xml:space="preserve">東南亞大單拉動</t>
    </r>
  </si>
  <si>
    <t xml:space="preserve">⚠ 非常態性業績，需關注</t>
  </si>
  <si>
    <t xml:space="preserve">最差單月</t>
  </si>
  <si>
    <r>
      <rPr>
        <sz val="10"/>
        <rFont val="DejaVu Sans"/>
        <family val="2"/>
      </rPr>
      <t xml:space="preserve">六月（</t>
    </r>
    <r>
      <rPr>
        <sz val="10"/>
        <rFont val="Arial"/>
        <family val="0"/>
        <charset val="1"/>
      </rPr>
      <t xml:space="preserve">935.8 </t>
    </r>
    <r>
      <rPr>
        <sz val="10"/>
        <rFont val="DejaVu Sans"/>
        <family val="2"/>
      </rPr>
      <t xml:space="preserve">萬）</t>
    </r>
  </si>
  <si>
    <r>
      <rPr>
        <sz val="9"/>
        <color rgb="FF888888"/>
        <rFont val="DejaVu Sans"/>
        <family val="2"/>
      </rPr>
      <t xml:space="preserve">⚠ 較</t>
    </r>
    <r>
      <rPr>
        <sz val="9"/>
        <color rgb="FF888888"/>
        <rFont val="Arial"/>
        <family val="0"/>
        <charset val="1"/>
      </rPr>
      <t xml:space="preserve">Q1</t>
    </r>
    <r>
      <rPr>
        <sz val="9"/>
        <color rgb="FF888888"/>
        <rFont val="DejaVu Sans"/>
        <family val="2"/>
      </rPr>
      <t xml:space="preserve">三月下滑</t>
    </r>
    <r>
      <rPr>
        <sz val="9"/>
        <color rgb="FF888888"/>
        <rFont val="Arial"/>
        <family val="0"/>
        <charset val="1"/>
      </rPr>
      <t xml:space="preserve">24.5%</t>
    </r>
    <r>
      <rPr>
        <sz val="9"/>
        <color rgb="FF888888"/>
        <rFont val="DejaVu Sans"/>
        <family val="2"/>
      </rPr>
      <t xml:space="preserve">，需追蹤</t>
    </r>
  </si>
  <si>
    <r>
      <rPr>
        <b val="true"/>
        <sz val="10"/>
        <color rgb="FFC00000"/>
        <rFont val="DejaVu Sans"/>
        <family val="2"/>
      </rPr>
      <t xml:space="preserve">⚠ 異常警示 </t>
    </r>
    <r>
      <rPr>
        <b val="true"/>
        <sz val="10"/>
        <color rgb="FFC00000"/>
        <rFont val="Arial"/>
        <family val="0"/>
        <charset val="1"/>
      </rPr>
      <t xml:space="preserve">1</t>
    </r>
  </si>
  <si>
    <r>
      <rPr>
        <b val="true"/>
        <sz val="10"/>
        <rFont val="Arial"/>
        <family val="0"/>
        <charset val="1"/>
      </rPr>
      <t xml:space="preserve">FS-100 </t>
    </r>
    <r>
      <rPr>
        <b val="true"/>
        <sz val="10"/>
        <rFont val="DejaVu Sans"/>
        <family val="2"/>
      </rPr>
      <t xml:space="preserve">六月銷售量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DejaVu Sans"/>
        <family val="2"/>
      </rPr>
      <t xml:space="preserve">台（大幅下滑，年度最低）</t>
    </r>
  </si>
  <si>
    <t xml:space="preserve">需業務說明原因</t>
  </si>
  <si>
    <r>
      <rPr>
        <b val="true"/>
        <sz val="10"/>
        <color rgb="FFC00000"/>
        <rFont val="DejaVu Sans"/>
        <family val="2"/>
      </rPr>
      <t xml:space="preserve">⚠ 異常警示 </t>
    </r>
    <r>
      <rPr>
        <b val="true"/>
        <sz val="10"/>
        <color rgb="FFC00000"/>
        <rFont val="Arial"/>
        <family val="0"/>
        <charset val="1"/>
      </rPr>
      <t xml:space="preserve">2</t>
    </r>
  </si>
  <si>
    <r>
      <rPr>
        <b val="true"/>
        <sz val="10"/>
        <rFont val="Arial"/>
        <family val="0"/>
        <charset val="1"/>
      </rPr>
      <t xml:space="preserve">TM-A30 </t>
    </r>
    <r>
      <rPr>
        <b val="true"/>
        <sz val="10"/>
        <rFont val="DejaVu Sans"/>
        <family val="2"/>
      </rPr>
      <t xml:space="preserve">六月銷售量 </t>
    </r>
    <r>
      <rPr>
        <b val="true"/>
        <sz val="10"/>
        <rFont val="Arial"/>
        <family val="0"/>
        <charset val="1"/>
      </rPr>
      <t xml:space="preserve">15 </t>
    </r>
    <r>
      <rPr>
        <b val="true"/>
        <sz val="10"/>
        <rFont val="DejaVu Sans"/>
        <family val="2"/>
      </rPr>
      <t xml:space="preserve">台（降幅 </t>
    </r>
    <r>
      <rPr>
        <b val="true"/>
        <sz val="10"/>
        <rFont val="Arial"/>
        <family val="0"/>
        <charset val="1"/>
      </rPr>
      <t xml:space="preserve">46%</t>
    </r>
    <r>
      <rPr>
        <b val="true"/>
        <sz val="10"/>
        <rFont val="DejaVu Sans"/>
        <family val="2"/>
      </rPr>
      <t xml:space="preserve">）</t>
    </r>
  </si>
  <si>
    <r>
      <rPr>
        <sz val="9"/>
        <color rgb="FFC00000"/>
        <rFont val="Arial"/>
        <family val="0"/>
        <charset val="1"/>
      </rPr>
      <t xml:space="preserve">B2026-032 </t>
    </r>
    <r>
      <rPr>
        <sz val="9"/>
        <color rgb="FFC00000"/>
        <rFont val="DejaVu Sans"/>
        <family val="2"/>
      </rPr>
      <t xml:space="preserve">品質事件後遺症</t>
    </r>
  </si>
  <si>
    <r>
      <rPr>
        <b val="true"/>
        <sz val="10"/>
        <color rgb="FFC00000"/>
        <rFont val="DejaVu Sans"/>
        <family val="2"/>
      </rPr>
      <t xml:space="preserve">⚠ 異常警示 </t>
    </r>
    <r>
      <rPr>
        <b val="true"/>
        <sz val="10"/>
        <color rgb="FFC00000"/>
        <rFont val="Arial"/>
        <family val="0"/>
        <charset val="1"/>
      </rPr>
      <t xml:space="preserve">3</t>
    </r>
  </si>
  <si>
    <r>
      <rPr>
        <b val="true"/>
        <sz val="10"/>
        <rFont val="Arial"/>
        <family val="0"/>
        <charset val="1"/>
      </rPr>
      <t xml:space="preserve">SP-MISC </t>
    </r>
    <r>
      <rPr>
        <b val="true"/>
        <sz val="10"/>
        <rFont val="DejaVu Sans"/>
        <family val="2"/>
      </rPr>
      <t xml:space="preserve">六月毛利率 </t>
    </r>
    <r>
      <rPr>
        <b val="true"/>
        <sz val="10"/>
        <rFont val="Arial"/>
        <family val="0"/>
        <charset val="1"/>
      </rPr>
      <t xml:space="preserve">78%</t>
    </r>
    <r>
      <rPr>
        <b val="true"/>
        <sz val="10"/>
        <rFont val="DejaVu Sans"/>
        <family val="2"/>
      </rPr>
      <t xml:space="preserve">（超出正常值 </t>
    </r>
    <r>
      <rPr>
        <b val="true"/>
        <sz val="10"/>
        <rFont val="Arial"/>
        <family val="0"/>
        <charset val="1"/>
      </rPr>
      <t xml:space="preserve">70% </t>
    </r>
    <r>
      <rPr>
        <b val="true"/>
        <sz val="10"/>
        <rFont val="DejaVu Sans"/>
        <family val="2"/>
      </rPr>
      <t xml:space="preserve">上限）</t>
    </r>
  </si>
  <si>
    <t xml:space="preserve">需財務核查計算方式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</si>
</sst>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DejaVu Sans"/>
      <family val="2"/>
    </font>
    <font>
      <sz val="10"/>
      <color rgb="FF1F3864"/>
      <name val="DejaVu Sans"/>
      <family val="2"/>
    </font>
    <font>
      <sz val="10"/>
      <color rgb="FF1F3864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1F3864"/>
      <name val="DejaVu Sans"/>
      <family val="2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10"/>
      <color rgb="FF888888"/>
      <name val="DejaVu Sans"/>
      <family val="2"/>
    </font>
    <font>
      <sz val="9"/>
      <color rgb="FF888888"/>
      <name val="DejaVu Sans"/>
      <family val="2"/>
    </font>
    <font>
      <b val="true"/>
      <sz val="10"/>
      <color rgb="FFC00000"/>
      <name val="DejaVu Sans"/>
      <family val="2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9"/>
      <color rgb="FFC00000"/>
      <name val="DejaVu Sans"/>
      <family val="2"/>
    </font>
    <font>
      <sz val="9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B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EAF0FB"/>
      </patternFill>
    </fill>
    <fill>
      <patternFill patternType="solid">
        <fgColor rgb="FFE2EFDA"/>
        <bgColor rgb="FFEAF0FB"/>
      </patternFill>
    </fill>
    <fill>
      <patternFill patternType="solid">
        <fgColor rgb="FFFCE4D6"/>
        <bgColor rgb="FFE2EFDA"/>
      </patternFill>
    </fill>
    <fill>
      <patternFill patternType="solid">
        <fgColor rgb="FFC9A227"/>
        <bgColor rgb="FF99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1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1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23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CE4D6"/>
      <rgbColor rgb="FFEAF0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9.5" hidden="false" customHeight="true" outlineLevel="0" collapsed="false">
      <c r="A6" s="5" t="s">
        <v>9</v>
      </c>
      <c r="B6" s="6" t="s">
        <v>10</v>
      </c>
      <c r="C6" s="7" t="n">
        <v>11</v>
      </c>
      <c r="D6" s="7" t="n">
        <v>28.5</v>
      </c>
      <c r="E6" s="7" t="n">
        <v>313.5</v>
      </c>
      <c r="F6" s="7" t="s">
        <v>11</v>
      </c>
    </row>
    <row r="7" customFormat="false" ht="19.5" hidden="false" customHeight="true" outlineLevel="0" collapsed="false">
      <c r="A7" s="8" t="s">
        <v>12</v>
      </c>
      <c r="B7" s="9" t="s">
        <v>13</v>
      </c>
      <c r="C7" s="10" t="n">
        <v>14</v>
      </c>
      <c r="D7" s="10" t="n">
        <v>15</v>
      </c>
      <c r="E7" s="10" t="n">
        <v>210</v>
      </c>
      <c r="F7" s="10" t="s">
        <v>14</v>
      </c>
    </row>
    <row r="8" customFormat="false" ht="19.5" hidden="false" customHeight="true" outlineLevel="0" collapsed="false">
      <c r="A8" s="5" t="s">
        <v>15</v>
      </c>
      <c r="B8" s="6" t="s">
        <v>16</v>
      </c>
      <c r="C8" s="7" t="n">
        <v>7</v>
      </c>
      <c r="D8" s="7" t="n">
        <v>19.8</v>
      </c>
      <c r="E8" s="7" t="n">
        <v>138.6</v>
      </c>
      <c r="F8" s="7" t="s">
        <v>17</v>
      </c>
    </row>
    <row r="9" customFormat="false" ht="19.5" hidden="false" customHeight="true" outlineLevel="0" collapsed="false">
      <c r="A9" s="8" t="s">
        <v>18</v>
      </c>
      <c r="B9" s="9" t="s">
        <v>19</v>
      </c>
      <c r="C9" s="10" t="n">
        <v>10</v>
      </c>
      <c r="D9" s="10" t="n">
        <v>12.5</v>
      </c>
      <c r="E9" s="10" t="n">
        <v>125</v>
      </c>
      <c r="F9" s="10" t="s">
        <v>20</v>
      </c>
    </row>
    <row r="10" customFormat="false" ht="19.5" hidden="false" customHeight="true" outlineLevel="0" collapsed="false">
      <c r="A10" s="5" t="s">
        <v>21</v>
      </c>
      <c r="B10" s="6" t="s">
        <v>22</v>
      </c>
      <c r="C10" s="7" t="n">
        <v>28</v>
      </c>
      <c r="D10" s="7" t="n">
        <v>1.5</v>
      </c>
      <c r="E10" s="7" t="n">
        <v>42</v>
      </c>
      <c r="F10" s="7" t="s">
        <v>23</v>
      </c>
    </row>
    <row r="11" customFormat="false" ht="19.5" hidden="false" customHeight="true" outlineLevel="0" collapsed="false">
      <c r="A11" s="8" t="s">
        <v>24</v>
      </c>
      <c r="B11" s="9" t="s">
        <v>25</v>
      </c>
      <c r="C11" s="10" t="n">
        <v>5</v>
      </c>
      <c r="D11" s="10" t="n">
        <v>22</v>
      </c>
      <c r="E11" s="10" t="n">
        <v>110</v>
      </c>
      <c r="F11" s="10" t="s">
        <v>26</v>
      </c>
    </row>
    <row r="12" customFormat="false" ht="19.5" hidden="false" customHeight="true" outlineLevel="0" collapsed="false">
      <c r="A12" s="5" t="s">
        <v>27</v>
      </c>
      <c r="B12" s="6" t="s">
        <v>28</v>
      </c>
      <c r="C12" s="7" t="n">
        <v>4</v>
      </c>
      <c r="D12" s="7" t="n">
        <v>35</v>
      </c>
      <c r="E12" s="7" t="n">
        <v>140</v>
      </c>
      <c r="F12" s="7" t="s">
        <v>29</v>
      </c>
    </row>
    <row r="13" customFormat="false" ht="19.5" hidden="false" customHeight="true" outlineLevel="0" collapsed="false">
      <c r="A13" s="8" t="s">
        <v>30</v>
      </c>
      <c r="B13" s="9" t="s">
        <v>31</v>
      </c>
      <c r="C13" s="10" t="s">
        <v>32</v>
      </c>
      <c r="D13" s="10" t="s">
        <v>32</v>
      </c>
      <c r="E13" s="10" t="n">
        <v>75</v>
      </c>
      <c r="F13" s="10" t="s">
        <v>33</v>
      </c>
    </row>
    <row r="14" customFormat="false" ht="24" hidden="false" customHeight="true" outlineLevel="0" collapsed="false">
      <c r="A14" s="11" t="s">
        <v>34</v>
      </c>
      <c r="B14" s="11"/>
      <c r="C14" s="11"/>
      <c r="D14" s="11"/>
      <c r="E14" s="12" t="n">
        <f aca="false">SUM(E6:E13)</f>
        <v>1154.1</v>
      </c>
      <c r="F14" s="13"/>
    </row>
    <row r="16" customFormat="false" ht="7.5" hidden="false" customHeight="true" outlineLevel="0" collapsed="false"/>
    <row r="17" customFormat="false" ht="25.5" hidden="false" customHeight="true" outlineLevel="0" collapsed="false">
      <c r="A17" s="3" t="s">
        <v>35</v>
      </c>
      <c r="B17" s="3"/>
      <c r="C17" s="3"/>
      <c r="D17" s="3"/>
      <c r="E17" s="3"/>
      <c r="F17" s="3"/>
    </row>
    <row r="18" customFormat="false" ht="21.75" hidden="false" customHeight="true" outlineLevel="0" collapsed="false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</row>
    <row r="19" customFormat="false" ht="19.5" hidden="false" customHeight="true" outlineLevel="0" collapsed="false">
      <c r="A19" s="8" t="s">
        <v>9</v>
      </c>
      <c r="B19" s="9" t="s">
        <v>10</v>
      </c>
      <c r="C19" s="10" t="n">
        <v>9</v>
      </c>
      <c r="D19" s="10" t="n">
        <v>28.5</v>
      </c>
      <c r="E19" s="10" t="n">
        <v>256.5</v>
      </c>
      <c r="F19" s="10" t="s">
        <v>36</v>
      </c>
    </row>
    <row r="20" customFormat="false" ht="19.5" hidden="false" customHeight="true" outlineLevel="0" collapsed="false">
      <c r="A20" s="5" t="s">
        <v>12</v>
      </c>
      <c r="B20" s="6" t="s">
        <v>13</v>
      </c>
      <c r="C20" s="7" t="n">
        <v>16</v>
      </c>
      <c r="D20" s="7" t="n">
        <v>15</v>
      </c>
      <c r="E20" s="7" t="n">
        <v>240</v>
      </c>
      <c r="F20" s="7" t="s">
        <v>37</v>
      </c>
    </row>
    <row r="21" customFormat="false" ht="19.5" hidden="false" customHeight="true" outlineLevel="0" collapsed="false">
      <c r="A21" s="8" t="s">
        <v>15</v>
      </c>
      <c r="B21" s="9" t="s">
        <v>16</v>
      </c>
      <c r="C21" s="10" t="n">
        <v>5</v>
      </c>
      <c r="D21" s="10" t="n">
        <v>19.8</v>
      </c>
      <c r="E21" s="10" t="n">
        <v>99</v>
      </c>
      <c r="F21" s="10" t="s">
        <v>11</v>
      </c>
    </row>
    <row r="22" customFormat="false" ht="19.5" hidden="false" customHeight="true" outlineLevel="0" collapsed="false">
      <c r="A22" s="5" t="s">
        <v>18</v>
      </c>
      <c r="B22" s="6" t="s">
        <v>19</v>
      </c>
      <c r="C22" s="7" t="n">
        <v>8</v>
      </c>
      <c r="D22" s="7" t="n">
        <v>12.5</v>
      </c>
      <c r="E22" s="7" t="n">
        <v>100</v>
      </c>
      <c r="F22" s="7" t="s">
        <v>37</v>
      </c>
    </row>
    <row r="23" customFormat="false" ht="19.5" hidden="false" customHeight="true" outlineLevel="0" collapsed="false">
      <c r="A23" s="8" t="s">
        <v>21</v>
      </c>
      <c r="B23" s="9" t="s">
        <v>22</v>
      </c>
      <c r="C23" s="10" t="n">
        <v>20</v>
      </c>
      <c r="D23" s="10" t="n">
        <v>1.5</v>
      </c>
      <c r="E23" s="10" t="n">
        <v>30</v>
      </c>
      <c r="F23" s="10" t="s">
        <v>38</v>
      </c>
    </row>
    <row r="24" customFormat="false" ht="19.5" hidden="false" customHeight="true" outlineLevel="0" collapsed="false">
      <c r="A24" s="5" t="s">
        <v>24</v>
      </c>
      <c r="B24" s="6" t="s">
        <v>25</v>
      </c>
      <c r="C24" s="7" t="n">
        <v>7</v>
      </c>
      <c r="D24" s="7" t="n">
        <v>22</v>
      </c>
      <c r="E24" s="7" t="n">
        <v>154</v>
      </c>
      <c r="F24" s="7" t="s">
        <v>39</v>
      </c>
    </row>
    <row r="25" customFormat="false" ht="19.5" hidden="false" customHeight="true" outlineLevel="0" collapsed="false">
      <c r="A25" s="14" t="s">
        <v>27</v>
      </c>
      <c r="B25" s="15" t="s">
        <v>28</v>
      </c>
      <c r="C25" s="16" t="n">
        <v>12</v>
      </c>
      <c r="D25" s="16" t="n">
        <v>35</v>
      </c>
      <c r="E25" s="16" t="n">
        <v>420</v>
      </c>
      <c r="F25" s="16" t="s">
        <v>40</v>
      </c>
    </row>
    <row r="26" customFormat="false" ht="19.5" hidden="false" customHeight="true" outlineLevel="0" collapsed="false">
      <c r="A26" s="5" t="s">
        <v>30</v>
      </c>
      <c r="B26" s="6" t="s">
        <v>31</v>
      </c>
      <c r="C26" s="7" t="s">
        <v>32</v>
      </c>
      <c r="D26" s="7" t="s">
        <v>32</v>
      </c>
      <c r="E26" s="7" t="n">
        <v>88</v>
      </c>
      <c r="F26" s="7" t="s">
        <v>41</v>
      </c>
    </row>
    <row r="27" customFormat="false" ht="24" hidden="false" customHeight="true" outlineLevel="0" collapsed="false">
      <c r="A27" s="11" t="s">
        <v>42</v>
      </c>
      <c r="B27" s="11"/>
      <c r="C27" s="11"/>
      <c r="D27" s="11"/>
      <c r="E27" s="12" t="n">
        <f aca="false">SUM(E19:E26)</f>
        <v>1387.5</v>
      </c>
      <c r="F27" s="13"/>
    </row>
    <row r="29" customFormat="false" ht="7.5" hidden="false" customHeight="true" outlineLevel="0" collapsed="false"/>
    <row r="30" customFormat="false" ht="25.5" hidden="false" customHeight="true" outlineLevel="0" collapsed="false">
      <c r="A30" s="3" t="s">
        <v>43</v>
      </c>
      <c r="B30" s="3"/>
      <c r="C30" s="3"/>
      <c r="D30" s="3"/>
      <c r="E30" s="3"/>
      <c r="F30" s="3"/>
    </row>
    <row r="31" customFormat="false" ht="21.75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</row>
    <row r="32" customFormat="false" ht="19.5" hidden="false" customHeight="true" outlineLevel="0" collapsed="false">
      <c r="A32" s="5" t="s">
        <v>9</v>
      </c>
      <c r="B32" s="6" t="s">
        <v>10</v>
      </c>
      <c r="C32" s="7" t="n">
        <v>8</v>
      </c>
      <c r="D32" s="7" t="n">
        <v>28.5</v>
      </c>
      <c r="E32" s="7" t="n">
        <v>228</v>
      </c>
      <c r="F32" s="7" t="s">
        <v>11</v>
      </c>
    </row>
    <row r="33" customFormat="false" ht="19.5" hidden="false" customHeight="true" outlineLevel="0" collapsed="false">
      <c r="A33" s="8" t="s">
        <v>12</v>
      </c>
      <c r="B33" s="9" t="s">
        <v>13</v>
      </c>
      <c r="C33" s="10" t="n">
        <v>10</v>
      </c>
      <c r="D33" s="10" t="n">
        <v>15</v>
      </c>
      <c r="E33" s="10" t="n">
        <v>150</v>
      </c>
      <c r="F33" s="10" t="s">
        <v>44</v>
      </c>
    </row>
    <row r="34" customFormat="false" ht="19.5" hidden="false" customHeight="true" outlineLevel="0" collapsed="false">
      <c r="A34" s="5" t="s">
        <v>15</v>
      </c>
      <c r="B34" s="6" t="s">
        <v>16</v>
      </c>
      <c r="C34" s="7" t="n">
        <v>6</v>
      </c>
      <c r="D34" s="7" t="n">
        <v>19.8</v>
      </c>
      <c r="E34" s="7" t="n">
        <v>118.8</v>
      </c>
      <c r="F34" s="7" t="s">
        <v>45</v>
      </c>
    </row>
    <row r="35" customFormat="false" ht="19.5" hidden="false" customHeight="true" outlineLevel="0" collapsed="false">
      <c r="A35" s="8" t="s">
        <v>18</v>
      </c>
      <c r="B35" s="9" t="s">
        <v>19</v>
      </c>
      <c r="C35" s="10" t="n">
        <v>9</v>
      </c>
      <c r="D35" s="10" t="n">
        <v>12.5</v>
      </c>
      <c r="E35" s="10" t="n">
        <v>112.5</v>
      </c>
      <c r="F35" s="10" t="s">
        <v>37</v>
      </c>
    </row>
    <row r="36" customFormat="false" ht="19.5" hidden="false" customHeight="true" outlineLevel="0" collapsed="false">
      <c r="A36" s="17" t="s">
        <v>21</v>
      </c>
      <c r="B36" s="18" t="s">
        <v>22</v>
      </c>
      <c r="C36" s="19" t="n">
        <v>15</v>
      </c>
      <c r="D36" s="19" t="n">
        <v>1.5</v>
      </c>
      <c r="E36" s="19" t="n">
        <v>22.5</v>
      </c>
      <c r="F36" s="19" t="s">
        <v>46</v>
      </c>
    </row>
    <row r="37" customFormat="false" ht="19.5" hidden="false" customHeight="true" outlineLevel="0" collapsed="false">
      <c r="A37" s="17" t="s">
        <v>24</v>
      </c>
      <c r="B37" s="18" t="s">
        <v>25</v>
      </c>
      <c r="C37" s="19" t="n">
        <v>2</v>
      </c>
      <c r="D37" s="19" t="n">
        <v>22</v>
      </c>
      <c r="E37" s="19" t="n">
        <v>44</v>
      </c>
      <c r="F37" s="19" t="s">
        <v>47</v>
      </c>
    </row>
    <row r="38" customFormat="false" ht="19.5" hidden="false" customHeight="true" outlineLevel="0" collapsed="false">
      <c r="A38" s="5" t="s">
        <v>27</v>
      </c>
      <c r="B38" s="6" t="s">
        <v>28</v>
      </c>
      <c r="C38" s="7" t="n">
        <v>4</v>
      </c>
      <c r="D38" s="7" t="n">
        <v>35</v>
      </c>
      <c r="E38" s="7" t="n">
        <v>140</v>
      </c>
      <c r="F38" s="7" t="s">
        <v>29</v>
      </c>
    </row>
    <row r="39" customFormat="false" ht="19.5" hidden="false" customHeight="true" outlineLevel="0" collapsed="false">
      <c r="A39" s="17" t="s">
        <v>30</v>
      </c>
      <c r="B39" s="18" t="s">
        <v>31</v>
      </c>
      <c r="C39" s="19" t="s">
        <v>32</v>
      </c>
      <c r="D39" s="19" t="s">
        <v>32</v>
      </c>
      <c r="E39" s="19" t="n">
        <v>120</v>
      </c>
      <c r="F39" s="19" t="s">
        <v>48</v>
      </c>
    </row>
    <row r="40" customFormat="false" ht="24" hidden="false" customHeight="true" outlineLevel="0" collapsed="false">
      <c r="A40" s="11" t="s">
        <v>49</v>
      </c>
      <c r="B40" s="11"/>
      <c r="C40" s="11"/>
      <c r="D40" s="11"/>
      <c r="E40" s="12" t="n">
        <f aca="false">SUM(E32:E39)</f>
        <v>935.8</v>
      </c>
      <c r="F40" s="13"/>
    </row>
    <row r="44" customFormat="false" ht="30" hidden="false" customHeight="true" outlineLevel="0" collapsed="false">
      <c r="A44" s="20" t="s">
        <v>50</v>
      </c>
      <c r="B44" s="20"/>
      <c r="C44" s="20"/>
      <c r="D44" s="20"/>
      <c r="E44" s="20"/>
      <c r="F44" s="20"/>
    </row>
    <row r="45" customFormat="false" ht="21.75" hidden="false" customHeight="true" outlineLevel="0" collapsed="false">
      <c r="A45" s="21" t="s">
        <v>51</v>
      </c>
      <c r="B45" s="22" t="n">
        <f aca="false">E14+E27+E40</f>
        <v>3477.4</v>
      </c>
      <c r="C45" s="22"/>
      <c r="D45" s="23"/>
    </row>
    <row r="46" customFormat="false" ht="21.75" hidden="false" customHeight="true" outlineLevel="0" collapsed="false">
      <c r="A46" s="24" t="s">
        <v>52</v>
      </c>
      <c r="B46" s="25" t="n">
        <v>3456.2</v>
      </c>
      <c r="C46" s="25"/>
      <c r="D46" s="26"/>
    </row>
    <row r="47" customFormat="false" ht="21.75" hidden="false" customHeight="true" outlineLevel="0" collapsed="false">
      <c r="A47" s="27" t="s">
        <v>53</v>
      </c>
      <c r="B47" s="28" t="s">
        <v>54</v>
      </c>
      <c r="C47" s="28"/>
      <c r="D47" s="29" t="s">
        <v>55</v>
      </c>
    </row>
    <row r="48" customFormat="false" ht="21.75" hidden="false" customHeight="true" outlineLevel="0" collapsed="false">
      <c r="A48" s="24" t="s">
        <v>56</v>
      </c>
      <c r="B48" s="30" t="n">
        <f aca="false">(E14+E27+E40)/3</f>
        <v>1159.13333333333</v>
      </c>
      <c r="C48" s="30"/>
      <c r="D48" s="26"/>
    </row>
    <row r="49" customFormat="false" ht="21.75" hidden="false" customHeight="true" outlineLevel="0" collapsed="false">
      <c r="A49" s="27" t="s">
        <v>57</v>
      </c>
      <c r="B49" s="31" t="s">
        <v>58</v>
      </c>
      <c r="C49" s="31"/>
      <c r="D49" s="29" t="s">
        <v>59</v>
      </c>
    </row>
    <row r="50" customFormat="false" ht="21.75" hidden="false" customHeight="true" outlineLevel="0" collapsed="false">
      <c r="A50" s="24" t="s">
        <v>60</v>
      </c>
      <c r="B50" s="32" t="s">
        <v>61</v>
      </c>
      <c r="C50" s="32"/>
      <c r="D50" s="33" t="s">
        <v>62</v>
      </c>
    </row>
    <row r="51" customFormat="false" ht="21.75" hidden="false" customHeight="true" outlineLevel="0" collapsed="false">
      <c r="A51" s="34" t="s">
        <v>63</v>
      </c>
      <c r="B51" s="35" t="s">
        <v>64</v>
      </c>
      <c r="C51" s="35"/>
      <c r="D51" s="36" t="s">
        <v>65</v>
      </c>
    </row>
    <row r="52" customFormat="false" ht="21.75" hidden="false" customHeight="true" outlineLevel="0" collapsed="false">
      <c r="A52" s="34" t="s">
        <v>66</v>
      </c>
      <c r="B52" s="35" t="s">
        <v>67</v>
      </c>
      <c r="C52" s="35"/>
      <c r="D52" s="37" t="s">
        <v>68</v>
      </c>
    </row>
    <row r="53" customFormat="false" ht="21.75" hidden="false" customHeight="true" outlineLevel="0" collapsed="false">
      <c r="A53" s="34" t="s">
        <v>69</v>
      </c>
      <c r="B53" s="35" t="s">
        <v>70</v>
      </c>
      <c r="C53" s="35"/>
      <c r="D53" s="36" t="s">
        <v>71</v>
      </c>
    </row>
  </sheetData>
  <mergeCells count="18">
    <mergeCell ref="A1:F1"/>
    <mergeCell ref="A2:F2"/>
    <mergeCell ref="A4:F4"/>
    <mergeCell ref="A14:D14"/>
    <mergeCell ref="A17:F17"/>
    <mergeCell ref="A27:D27"/>
    <mergeCell ref="A30:F30"/>
    <mergeCell ref="A40:D40"/>
    <mergeCell ref="A44:F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2026-04-21T06:22:47Z</dcterms:created>
  <dc:creator>openpyxl</dc:creator>
  <dc:description/>
  <dc:language>en-US</dc:language>
  <cp:lastModifiedBy/>
  <dcterms:modified xsi:type="dcterms:W3CDTF">2026-04-21T06:22:47Z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